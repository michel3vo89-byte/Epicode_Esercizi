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iche\Desktop\Master in Ai Epicode\Esercizi\"/>
    </mc:Choice>
  </mc:AlternateContent>
  <xr:revisionPtr revIDLastSave="0" documentId="13_ncr:1_{D2F39704-6D43-4507-8F46-CE485444BB99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W2D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2" l="1"/>
  <c r="I30" i="2" s="1"/>
  <c r="F21" i="2"/>
  <c r="F30" i="2" s="1"/>
  <c r="C21" i="2"/>
  <c r="C30" i="2" s="1"/>
  <c r="I6" i="2"/>
  <c r="I15" i="2" s="1"/>
  <c r="F6" i="2"/>
  <c r="F15" i="2" s="1"/>
  <c r="C6" i="2"/>
  <c r="C13" i="2"/>
  <c r="I26" i="2"/>
  <c r="I28" i="2" s="1"/>
  <c r="F26" i="2"/>
  <c r="F28" i="2" s="1"/>
  <c r="C26" i="2"/>
  <c r="C28" i="2" s="1"/>
  <c r="I11" i="2"/>
  <c r="I13" i="2" s="1"/>
  <c r="F13" i="2"/>
  <c r="F11" i="2"/>
  <c r="C11" i="2"/>
  <c r="I29" i="2" l="1"/>
  <c r="F29" i="2"/>
  <c r="C29" i="2"/>
  <c r="I14" i="2"/>
  <c r="F14" i="2"/>
  <c r="C15" i="2"/>
  <c r="C14" i="2"/>
</calcChain>
</file>

<file path=xl/sharedStrings.xml><?xml version="1.0" encoding="utf-8"?>
<sst xmlns="http://schemas.openxmlformats.org/spreadsheetml/2006/main" count="49" uniqueCount="9">
  <si>
    <t>Caso Studio</t>
  </si>
  <si>
    <t>Media</t>
  </si>
  <si>
    <t>Deviazione Standard</t>
  </si>
  <si>
    <t xml:space="preserve">Dimensione del campione </t>
  </si>
  <si>
    <t>Confidenza</t>
  </si>
  <si>
    <t>α</t>
  </si>
  <si>
    <t>intervallo di confidenza</t>
  </si>
  <si>
    <t>margine inferiore</t>
  </si>
  <si>
    <t>margine superiore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</si>
</sst>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 applyAlignment="1">
      <alignment horizontal="right"/>
    </xf>
    <xf numFmtId="0" fontId="0" fillId="4" borderId="5" xfId="0" applyFill="1" applyBorder="1"/>
    <xf numFmtId="2" fontId="0" fillId="0" borderId="5" xfId="0" applyNumberFormat="1" applyBorder="1"/>
    <xf numFmtId="0" fontId="0" fillId="0" borderId="6" xfId="0" applyBorder="1"/>
    <xf numFmtId="2" fontId="0" fillId="0" borderId="7" xfId="0" applyNumberFormat="1" applyBorder="1"/>
    <xf numFmtId="0" fontId="0" fillId="0" borderId="7" xfId="0" applyBorder="1"/>
    <xf numFmtId="2" fontId="0" fillId="0" borderId="8" xfId="0" applyNumberFormat="1" applyBorder="1"/>
    <xf numFmtId="1" fontId="0" fillId="0" borderId="2" xfId="0" applyNumberFormat="1" applyBorder="1"/>
    <xf numFmtId="1" fontId="0" fillId="0" borderId="3" xfId="0" applyNumberFormat="1" applyBorder="1"/>
    <xf numFmtId="0" fontId="0" fillId="0" borderId="0" xfId="0" applyBorder="1"/>
    <xf numFmtId="2" fontId="0" fillId="5" borderId="0" xfId="0" applyNumberFormat="1" applyFill="1" applyBorder="1"/>
    <xf numFmtId="0" fontId="1" fillId="0" borderId="0" xfId="0" applyFont="1" applyBorder="1" applyAlignment="1">
      <alignment horizontal="right"/>
    </xf>
    <xf numFmtId="2" fontId="0" fillId="6" borderId="0" xfId="0" applyNumberFormat="1" applyFill="1" applyBorder="1"/>
    <xf numFmtId="2" fontId="0" fillId="7" borderId="5" xfId="0" applyNumberFormat="1" applyFill="1" applyBorder="1"/>
    <xf numFmtId="2" fontId="0" fillId="0" borderId="0" xfId="0" applyNumberFormat="1" applyBorder="1"/>
    <xf numFmtId="2" fontId="0" fillId="3" borderId="0" xfId="0" applyNumberFormat="1" applyFill="1" applyBorder="1"/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91D667F-F71D-465D-8ED9-2ECFFD089121}">
  <we:reference id="wa200006518" version="1.2.0.0" store="it-IT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81DC-F5A6-4F8A-93B5-3B1A2421D22C}">
  <dimension ref="B3:K86"/>
  <sheetViews>
    <sheetView tabSelected="1" zoomScale="115" zoomScaleNormal="115" workbookViewId="0">
      <selection activeCell="B3" sqref="B3"/>
    </sheetView>
  </sheetViews>
  <sheetFormatPr defaultRowHeight="15" x14ac:dyDescent="0.25"/>
  <cols>
    <col min="2" max="2" width="25" bestFit="1" customWidth="1"/>
    <col min="5" max="5" width="25" bestFit="1" customWidth="1"/>
    <col min="8" max="8" width="25" bestFit="1" customWidth="1"/>
    <col min="12" max="12" width="25" bestFit="1" customWidth="1"/>
    <col min="15" max="15" width="25" bestFit="1" customWidth="1"/>
    <col min="18" max="18" width="25" bestFit="1" customWidth="1"/>
  </cols>
  <sheetData>
    <row r="3" spans="2:11" x14ac:dyDescent="0.25">
      <c r="B3" t="s">
        <v>0</v>
      </c>
    </row>
    <row r="5" spans="2:11" ht="15.75" thickBot="1" x14ac:dyDescent="0.3"/>
    <row r="6" spans="2:11" ht="17.25" x14ac:dyDescent="0.25">
      <c r="B6" s="2" t="s">
        <v>1</v>
      </c>
      <c r="C6" s="13">
        <f>AVERAGE($K$6:$K$86)</f>
        <v>51.851851851851855</v>
      </c>
      <c r="D6" s="3"/>
      <c r="E6" s="3" t="s">
        <v>1</v>
      </c>
      <c r="F6" s="13">
        <f>AVERAGE($K$6:$K$86)</f>
        <v>51.851851851851855</v>
      </c>
      <c r="G6" s="3"/>
      <c r="H6" s="3" t="s">
        <v>1</v>
      </c>
      <c r="I6" s="14">
        <f>AVERAGE($K$6:$K$86)</f>
        <v>51.851851851851855</v>
      </c>
      <c r="K6" s="1">
        <v>55</v>
      </c>
    </row>
    <row r="7" spans="2:11" ht="17.25" x14ac:dyDescent="0.25">
      <c r="B7" s="4" t="s">
        <v>2</v>
      </c>
      <c r="C7" s="15">
        <v>9</v>
      </c>
      <c r="D7" s="15"/>
      <c r="E7" s="15" t="s">
        <v>2</v>
      </c>
      <c r="F7" s="15">
        <v>9</v>
      </c>
      <c r="G7" s="15"/>
      <c r="H7" s="15" t="s">
        <v>2</v>
      </c>
      <c r="I7" s="5">
        <v>9</v>
      </c>
      <c r="K7" s="1">
        <v>49</v>
      </c>
    </row>
    <row r="8" spans="2:11" ht="17.25" x14ac:dyDescent="0.25">
      <c r="B8" s="4" t="s">
        <v>3</v>
      </c>
      <c r="C8" s="15">
        <v>81</v>
      </c>
      <c r="D8" s="15"/>
      <c r="E8" s="15" t="s">
        <v>3</v>
      </c>
      <c r="F8" s="15">
        <v>81</v>
      </c>
      <c r="G8" s="15"/>
      <c r="H8" s="15" t="s">
        <v>3</v>
      </c>
      <c r="I8" s="5">
        <v>81</v>
      </c>
      <c r="K8" s="1">
        <v>62</v>
      </c>
    </row>
    <row r="9" spans="2:11" ht="17.25" x14ac:dyDescent="0.25">
      <c r="B9" s="4" t="s">
        <v>4</v>
      </c>
      <c r="C9" s="15">
        <v>0.9</v>
      </c>
      <c r="D9" s="15"/>
      <c r="E9" s="15" t="s">
        <v>4</v>
      </c>
      <c r="F9" s="15">
        <v>0.95</v>
      </c>
      <c r="G9" s="15"/>
      <c r="H9" s="15" t="s">
        <v>4</v>
      </c>
      <c r="I9" s="5">
        <v>0.99</v>
      </c>
      <c r="K9" s="1">
        <v>42</v>
      </c>
    </row>
    <row r="10" spans="2:11" ht="17.25" x14ac:dyDescent="0.25">
      <c r="B10" s="4"/>
      <c r="C10" s="15"/>
      <c r="D10" s="15"/>
      <c r="E10" s="15"/>
      <c r="F10" s="15"/>
      <c r="G10" s="15"/>
      <c r="H10" s="15"/>
      <c r="I10" s="5"/>
      <c r="K10" s="1">
        <v>53</v>
      </c>
    </row>
    <row r="11" spans="2:11" ht="17.25" x14ac:dyDescent="0.25">
      <c r="B11" s="6" t="s">
        <v>5</v>
      </c>
      <c r="C11" s="21">
        <f>1-C9</f>
        <v>9.9999999999999978E-2</v>
      </c>
      <c r="D11" s="15"/>
      <c r="E11" s="17" t="s">
        <v>5</v>
      </c>
      <c r="F11" s="22">
        <f>1-F9</f>
        <v>5.0000000000000044E-2</v>
      </c>
      <c r="G11" s="15"/>
      <c r="H11" s="17" t="s">
        <v>5</v>
      </c>
      <c r="I11" s="7">
        <f>1-I9</f>
        <v>1.0000000000000009E-2</v>
      </c>
      <c r="K11" s="1">
        <v>61</v>
      </c>
    </row>
    <row r="12" spans="2:11" ht="17.25" x14ac:dyDescent="0.25">
      <c r="B12" s="4"/>
      <c r="C12" s="15"/>
      <c r="D12" s="15"/>
      <c r="E12" s="15"/>
      <c r="F12" s="15"/>
      <c r="G12" s="15"/>
      <c r="H12" s="15"/>
      <c r="I12" s="5"/>
      <c r="K12" s="1">
        <v>37</v>
      </c>
    </row>
    <row r="13" spans="2:11" ht="17.25" x14ac:dyDescent="0.25">
      <c r="B13" s="4" t="s">
        <v>6</v>
      </c>
      <c r="C13" s="20">
        <f>_xlfn.CONFIDENCE.NORM(C11,C7,C8)</f>
        <v>1.6448536269514715</v>
      </c>
      <c r="D13" s="15"/>
      <c r="E13" s="15" t="s">
        <v>6</v>
      </c>
      <c r="F13" s="20">
        <f>_xlfn.CONFIDENCE.NORM(F11,F7,F8)</f>
        <v>1.9599639845400536</v>
      </c>
      <c r="G13" s="15"/>
      <c r="H13" s="15" t="s">
        <v>6</v>
      </c>
      <c r="I13" s="8">
        <f>_xlfn.CONFIDENCE.NORM(I11,I7,I8)</f>
        <v>2.5758293035488999</v>
      </c>
      <c r="K13" s="1">
        <v>57</v>
      </c>
    </row>
    <row r="14" spans="2:11" ht="17.25" x14ac:dyDescent="0.25">
      <c r="B14" s="4" t="s">
        <v>7</v>
      </c>
      <c r="C14" s="20">
        <f>C6-C13</f>
        <v>50.206998224900381</v>
      </c>
      <c r="D14" s="15"/>
      <c r="E14" s="15" t="s">
        <v>7</v>
      </c>
      <c r="F14" s="20">
        <f>F6-F13</f>
        <v>49.891887867311802</v>
      </c>
      <c r="G14" s="15"/>
      <c r="H14" s="15" t="s">
        <v>7</v>
      </c>
      <c r="I14" s="8">
        <f>I6-I13</f>
        <v>49.276022548302954</v>
      </c>
      <c r="K14" s="1">
        <v>38</v>
      </c>
    </row>
    <row r="15" spans="2:11" ht="18" thickBot="1" x14ac:dyDescent="0.3">
      <c r="B15" s="9" t="s">
        <v>8</v>
      </c>
      <c r="C15" s="10">
        <f>C6+C13</f>
        <v>53.496705478803328</v>
      </c>
      <c r="D15" s="11"/>
      <c r="E15" s="11" t="s">
        <v>8</v>
      </c>
      <c r="F15" s="10">
        <f>F6+F13</f>
        <v>53.811815836391908</v>
      </c>
      <c r="G15" s="11"/>
      <c r="H15" s="11" t="s">
        <v>8</v>
      </c>
      <c r="I15" s="12">
        <f>I6+I13</f>
        <v>54.427681155400755</v>
      </c>
      <c r="K15" s="1">
        <v>42</v>
      </c>
    </row>
    <row r="16" spans="2:11" ht="17.25" x14ac:dyDescent="0.25">
      <c r="K16" s="1">
        <v>62</v>
      </c>
    </row>
    <row r="17" spans="2:11" ht="17.25" x14ac:dyDescent="0.25">
      <c r="K17" s="1">
        <v>54</v>
      </c>
    </row>
    <row r="18" spans="2:11" ht="17.25" x14ac:dyDescent="0.25">
      <c r="K18" s="1">
        <v>63</v>
      </c>
    </row>
    <row r="19" spans="2:11" ht="17.25" x14ac:dyDescent="0.25">
      <c r="K19" s="1">
        <v>43</v>
      </c>
    </row>
    <row r="20" spans="2:11" ht="18" thickBot="1" x14ac:dyDescent="0.3">
      <c r="K20" s="1">
        <v>59</v>
      </c>
    </row>
    <row r="21" spans="2:11" ht="17.25" x14ac:dyDescent="0.25">
      <c r="B21" s="2" t="s">
        <v>1</v>
      </c>
      <c r="C21" s="13">
        <f>AVERAGE($K$6:$K$86)</f>
        <v>51.851851851851855</v>
      </c>
      <c r="D21" s="3"/>
      <c r="E21" s="3" t="s">
        <v>1</v>
      </c>
      <c r="F21" s="13">
        <f>AVERAGE($K$6:$K$86)</f>
        <v>51.851851851851855</v>
      </c>
      <c r="G21" s="3"/>
      <c r="H21" s="3" t="s">
        <v>1</v>
      </c>
      <c r="I21" s="14">
        <f>AVERAGE($K$6:$K$86)</f>
        <v>51.851851851851855</v>
      </c>
      <c r="K21" s="1">
        <v>51</v>
      </c>
    </row>
    <row r="22" spans="2:11" ht="17.25" x14ac:dyDescent="0.25">
      <c r="B22" s="4" t="s">
        <v>2</v>
      </c>
      <c r="C22" s="15">
        <v>9</v>
      </c>
      <c r="D22" s="15"/>
      <c r="E22" s="15" t="s">
        <v>2</v>
      </c>
      <c r="F22" s="15">
        <v>9</v>
      </c>
      <c r="G22" s="15"/>
      <c r="H22" s="15" t="s">
        <v>2</v>
      </c>
      <c r="I22" s="5">
        <v>9</v>
      </c>
      <c r="K22" s="1">
        <v>61</v>
      </c>
    </row>
    <row r="23" spans="2:11" ht="17.25" x14ac:dyDescent="0.25">
      <c r="B23" s="4" t="s">
        <v>3</v>
      </c>
      <c r="C23" s="15">
        <v>324</v>
      </c>
      <c r="D23" s="15"/>
      <c r="E23" s="15" t="s">
        <v>3</v>
      </c>
      <c r="F23" s="15">
        <v>324</v>
      </c>
      <c r="G23" s="15"/>
      <c r="H23" s="15" t="s">
        <v>3</v>
      </c>
      <c r="I23" s="5">
        <v>324</v>
      </c>
      <c r="K23" s="1">
        <v>43</v>
      </c>
    </row>
    <row r="24" spans="2:11" ht="17.25" x14ac:dyDescent="0.25">
      <c r="B24" s="4" t="s">
        <v>4</v>
      </c>
      <c r="C24" s="15">
        <v>0.9</v>
      </c>
      <c r="D24" s="15"/>
      <c r="E24" s="15" t="s">
        <v>4</v>
      </c>
      <c r="F24" s="15">
        <v>0.95</v>
      </c>
      <c r="G24" s="15"/>
      <c r="H24" s="15" t="s">
        <v>4</v>
      </c>
      <c r="I24" s="5">
        <v>0.99</v>
      </c>
      <c r="K24" s="1">
        <v>55</v>
      </c>
    </row>
    <row r="25" spans="2:11" ht="17.25" x14ac:dyDescent="0.25">
      <c r="B25" s="4"/>
      <c r="C25" s="15"/>
      <c r="D25" s="15"/>
      <c r="E25" s="15"/>
      <c r="F25" s="15"/>
      <c r="G25" s="15"/>
      <c r="H25" s="15"/>
      <c r="I25" s="5"/>
      <c r="K25" s="1">
        <v>58</v>
      </c>
    </row>
    <row r="26" spans="2:11" ht="17.25" x14ac:dyDescent="0.25">
      <c r="B26" s="6" t="s">
        <v>5</v>
      </c>
      <c r="C26" s="16">
        <f>1-C24</f>
        <v>9.9999999999999978E-2</v>
      </c>
      <c r="D26" s="15"/>
      <c r="E26" s="17" t="s">
        <v>5</v>
      </c>
      <c r="F26" s="18">
        <f>1-F24</f>
        <v>5.0000000000000044E-2</v>
      </c>
      <c r="G26" s="15"/>
      <c r="H26" s="17" t="s">
        <v>5</v>
      </c>
      <c r="I26" s="19">
        <f>1-I24</f>
        <v>1.0000000000000009E-2</v>
      </c>
      <c r="K26" s="1">
        <v>66</v>
      </c>
    </row>
    <row r="27" spans="2:11" ht="17.25" x14ac:dyDescent="0.25">
      <c r="B27" s="4"/>
      <c r="C27" s="15"/>
      <c r="D27" s="15"/>
      <c r="E27" s="15"/>
      <c r="F27" s="15"/>
      <c r="G27" s="15"/>
      <c r="H27" s="15"/>
      <c r="I27" s="5"/>
      <c r="K27" s="1">
        <v>39</v>
      </c>
    </row>
    <row r="28" spans="2:11" ht="17.25" x14ac:dyDescent="0.25">
      <c r="B28" s="4" t="s">
        <v>6</v>
      </c>
      <c r="C28" s="20">
        <f>_xlfn.CONFIDENCE.NORM(C26,C22,C23)</f>
        <v>0.82242681347573576</v>
      </c>
      <c r="D28" s="15"/>
      <c r="E28" s="15" t="s">
        <v>6</v>
      </c>
      <c r="F28" s="20">
        <f>_xlfn.CONFIDENCE.NORM(F26,F22,F23)</f>
        <v>0.9799819922700268</v>
      </c>
      <c r="G28" s="15"/>
      <c r="H28" s="15" t="s">
        <v>6</v>
      </c>
      <c r="I28" s="8">
        <f>_xlfn.CONFIDENCE.NORM(I26,I22,I23)</f>
        <v>1.28791465177445</v>
      </c>
      <c r="K28" s="1">
        <v>45</v>
      </c>
    </row>
    <row r="29" spans="2:11" ht="17.25" x14ac:dyDescent="0.25">
      <c r="B29" s="4" t="s">
        <v>7</v>
      </c>
      <c r="C29" s="20">
        <f>C21-C28</f>
        <v>51.029425038376118</v>
      </c>
      <c r="D29" s="15"/>
      <c r="E29" s="15" t="s">
        <v>7</v>
      </c>
      <c r="F29" s="20">
        <f>F21-F28</f>
        <v>50.871869859581828</v>
      </c>
      <c r="G29" s="15"/>
      <c r="H29" s="15" t="s">
        <v>7</v>
      </c>
      <c r="I29" s="8">
        <f>I21-I28</f>
        <v>50.563937200077405</v>
      </c>
      <c r="K29" s="1">
        <v>54</v>
      </c>
    </row>
    <row r="30" spans="2:11" ht="18" thickBot="1" x14ac:dyDescent="0.3">
      <c r="B30" s="9" t="s">
        <v>8</v>
      </c>
      <c r="C30" s="10">
        <f>C21+C28</f>
        <v>52.674278665327591</v>
      </c>
      <c r="D30" s="11"/>
      <c r="E30" s="11" t="s">
        <v>8</v>
      </c>
      <c r="F30" s="10">
        <f>F21+F28</f>
        <v>52.831833844121881</v>
      </c>
      <c r="G30" s="11"/>
      <c r="H30" s="11" t="s">
        <v>8</v>
      </c>
      <c r="I30" s="12">
        <f>I21+I28</f>
        <v>53.139766503626305</v>
      </c>
      <c r="K30" s="1">
        <v>64</v>
      </c>
    </row>
    <row r="31" spans="2:11" ht="17.25" x14ac:dyDescent="0.25">
      <c r="K31" s="1">
        <v>50</v>
      </c>
    </row>
    <row r="32" spans="2:11" ht="17.25" x14ac:dyDescent="0.25">
      <c r="K32" s="1">
        <v>62</v>
      </c>
    </row>
    <row r="33" spans="11:11" ht="17.25" x14ac:dyDescent="0.25">
      <c r="K33" s="1">
        <v>40</v>
      </c>
    </row>
    <row r="34" spans="11:11" ht="17.25" x14ac:dyDescent="0.25">
      <c r="K34" s="1">
        <v>52</v>
      </c>
    </row>
    <row r="35" spans="11:11" ht="17.25" x14ac:dyDescent="0.25">
      <c r="K35" s="1">
        <v>43</v>
      </c>
    </row>
    <row r="36" spans="11:11" ht="17.25" x14ac:dyDescent="0.25">
      <c r="K36" s="1">
        <v>55</v>
      </c>
    </row>
    <row r="37" spans="11:11" ht="17.25" x14ac:dyDescent="0.25">
      <c r="K37" s="1">
        <v>50</v>
      </c>
    </row>
    <row r="38" spans="11:11" ht="17.25" x14ac:dyDescent="0.25">
      <c r="K38" s="1">
        <v>57</v>
      </c>
    </row>
    <row r="39" spans="11:11" ht="17.25" x14ac:dyDescent="0.25">
      <c r="K39" s="1">
        <v>47</v>
      </c>
    </row>
    <row r="40" spans="11:11" ht="17.25" x14ac:dyDescent="0.25">
      <c r="K40" s="1">
        <v>50</v>
      </c>
    </row>
    <row r="41" spans="11:11" ht="17.25" x14ac:dyDescent="0.25">
      <c r="K41" s="1">
        <v>49</v>
      </c>
    </row>
    <row r="42" spans="11:11" ht="17.25" x14ac:dyDescent="0.25">
      <c r="K42" s="1">
        <v>55</v>
      </c>
    </row>
    <row r="43" spans="11:11" ht="17.25" x14ac:dyDescent="0.25">
      <c r="K43" s="1">
        <v>48</v>
      </c>
    </row>
    <row r="44" spans="11:11" ht="17.25" x14ac:dyDescent="0.25">
      <c r="K44" s="1">
        <v>49</v>
      </c>
    </row>
    <row r="45" spans="11:11" ht="17.25" x14ac:dyDescent="0.25">
      <c r="K45" s="1">
        <v>61</v>
      </c>
    </row>
    <row r="46" spans="11:11" ht="17.25" x14ac:dyDescent="0.25">
      <c r="K46" s="1">
        <v>52</v>
      </c>
    </row>
    <row r="47" spans="11:11" ht="17.25" x14ac:dyDescent="0.25">
      <c r="K47" s="1">
        <v>45</v>
      </c>
    </row>
    <row r="48" spans="11:11" ht="17.25" x14ac:dyDescent="0.25">
      <c r="K48" s="1">
        <v>42</v>
      </c>
    </row>
    <row r="49" spans="11:11" ht="17.25" x14ac:dyDescent="0.25">
      <c r="K49" s="1">
        <v>62</v>
      </c>
    </row>
    <row r="50" spans="11:11" ht="17.25" x14ac:dyDescent="0.25">
      <c r="K50" s="1">
        <v>42</v>
      </c>
    </row>
    <row r="51" spans="11:11" ht="17.25" x14ac:dyDescent="0.25">
      <c r="K51" s="1">
        <v>41</v>
      </c>
    </row>
    <row r="52" spans="11:11" ht="17.25" x14ac:dyDescent="0.25">
      <c r="K52" s="1">
        <v>67</v>
      </c>
    </row>
    <row r="53" spans="11:11" ht="17.25" x14ac:dyDescent="0.25">
      <c r="K53" s="1">
        <v>37</v>
      </c>
    </row>
    <row r="54" spans="11:11" ht="17.25" x14ac:dyDescent="0.25">
      <c r="K54" s="1">
        <v>47</v>
      </c>
    </row>
    <row r="55" spans="11:11" ht="17.25" x14ac:dyDescent="0.25">
      <c r="K55" s="1">
        <v>66</v>
      </c>
    </row>
    <row r="56" spans="11:11" ht="17.25" x14ac:dyDescent="0.25">
      <c r="K56" s="1">
        <v>50</v>
      </c>
    </row>
    <row r="57" spans="11:11" ht="17.25" x14ac:dyDescent="0.25">
      <c r="K57" s="1">
        <v>54</v>
      </c>
    </row>
    <row r="58" spans="11:11" ht="17.25" x14ac:dyDescent="0.25">
      <c r="K58" s="1">
        <v>47</v>
      </c>
    </row>
    <row r="59" spans="11:11" ht="17.25" x14ac:dyDescent="0.25">
      <c r="K59" s="1">
        <v>50</v>
      </c>
    </row>
    <row r="60" spans="11:11" ht="17.25" x14ac:dyDescent="0.25">
      <c r="K60" s="1">
        <v>42</v>
      </c>
    </row>
    <row r="61" spans="11:11" ht="17.25" x14ac:dyDescent="0.25">
      <c r="K61" s="1">
        <v>57</v>
      </c>
    </row>
    <row r="62" spans="11:11" ht="17.25" x14ac:dyDescent="0.25">
      <c r="K62" s="1">
        <v>49</v>
      </c>
    </row>
    <row r="63" spans="11:11" ht="17.25" x14ac:dyDescent="0.25">
      <c r="K63" s="1">
        <v>62</v>
      </c>
    </row>
    <row r="64" spans="11:11" ht="17.25" x14ac:dyDescent="0.25">
      <c r="K64" s="1">
        <v>54</v>
      </c>
    </row>
    <row r="65" spans="11:11" ht="17.25" x14ac:dyDescent="0.25">
      <c r="K65" s="1">
        <v>64</v>
      </c>
    </row>
    <row r="66" spans="11:11" ht="17.25" x14ac:dyDescent="0.25">
      <c r="K66" s="1">
        <v>41</v>
      </c>
    </row>
    <row r="67" spans="11:11" ht="17.25" x14ac:dyDescent="0.25">
      <c r="K67" s="1">
        <v>65</v>
      </c>
    </row>
    <row r="68" spans="11:11" ht="17.25" x14ac:dyDescent="0.25">
      <c r="K68" s="1">
        <v>39</v>
      </c>
    </row>
    <row r="69" spans="11:11" ht="17.25" x14ac:dyDescent="0.25">
      <c r="K69" s="1">
        <v>50</v>
      </c>
    </row>
    <row r="70" spans="11:11" ht="17.25" x14ac:dyDescent="0.25">
      <c r="K70" s="1">
        <v>67</v>
      </c>
    </row>
    <row r="71" spans="11:11" ht="17.25" x14ac:dyDescent="0.25">
      <c r="K71" s="1">
        <v>42</v>
      </c>
    </row>
    <row r="72" spans="11:11" ht="17.25" x14ac:dyDescent="0.25">
      <c r="K72" s="1">
        <v>54</v>
      </c>
    </row>
    <row r="73" spans="11:11" ht="17.25" x14ac:dyDescent="0.25">
      <c r="K73" s="1">
        <v>49</v>
      </c>
    </row>
    <row r="74" spans="11:11" ht="17.25" x14ac:dyDescent="0.25">
      <c r="K74" s="1">
        <v>54</v>
      </c>
    </row>
    <row r="75" spans="11:11" ht="17.25" x14ac:dyDescent="0.25">
      <c r="K75" s="1">
        <v>49</v>
      </c>
    </row>
    <row r="76" spans="11:11" ht="17.25" x14ac:dyDescent="0.25">
      <c r="K76" s="1">
        <v>52</v>
      </c>
    </row>
    <row r="77" spans="11:11" ht="17.25" x14ac:dyDescent="0.25">
      <c r="K77" s="1">
        <v>55</v>
      </c>
    </row>
    <row r="78" spans="11:11" ht="17.25" x14ac:dyDescent="0.25">
      <c r="K78" s="1">
        <v>49</v>
      </c>
    </row>
    <row r="79" spans="11:11" ht="17.25" x14ac:dyDescent="0.25">
      <c r="K79" s="1">
        <v>63</v>
      </c>
    </row>
    <row r="80" spans="11:11" ht="17.25" x14ac:dyDescent="0.25">
      <c r="K80" s="1">
        <v>48</v>
      </c>
    </row>
    <row r="81" spans="11:11" ht="17.25" x14ac:dyDescent="0.25">
      <c r="K81" s="1">
        <v>49</v>
      </c>
    </row>
    <row r="82" spans="11:11" ht="17.25" x14ac:dyDescent="0.25">
      <c r="K82" s="1">
        <v>55</v>
      </c>
    </row>
    <row r="83" spans="11:11" ht="17.25" x14ac:dyDescent="0.25">
      <c r="K83" s="1">
        <v>67</v>
      </c>
    </row>
    <row r="84" spans="11:11" ht="17.25" x14ac:dyDescent="0.25">
      <c r="K84" s="1">
        <v>37</v>
      </c>
    </row>
    <row r="85" spans="11:11" ht="17.25" x14ac:dyDescent="0.25">
      <c r="K85" s="1">
        <v>45</v>
      </c>
    </row>
    <row r="86" spans="11:11" ht="17.25" x14ac:dyDescent="0.25">
      <c r="K86" s="1">
        <v>59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W2D1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Arcangeli</dc:creator>
  <cp:lastModifiedBy>Michel Arcangeli</cp:lastModifiedBy>
  <dcterms:created xsi:type="dcterms:W3CDTF">2015-06-05T18:17:20Z</dcterms:created>
  <dcterms:modified xsi:type="dcterms:W3CDTF">2026-07-07T21:05:31Z</dcterms:modified>
</cp:coreProperties>
</file>