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che\Desktop\Master in Ai Epicode\Esercizi\"/>
    </mc:Choice>
  </mc:AlternateContent>
  <xr:revisionPtr revIDLastSave="0" documentId="13_ncr:1_{81EBF3DE-F624-41F4-A6CE-113F490BDA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2D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2" l="1"/>
  <c r="I28" i="2" s="1"/>
  <c r="F26" i="2"/>
  <c r="F28" i="2" s="1"/>
  <c r="C26" i="2"/>
  <c r="C28" i="2" s="1"/>
  <c r="I11" i="2"/>
  <c r="I13" i="2" s="1"/>
  <c r="F13" i="2"/>
  <c r="F15" i="2" s="1"/>
  <c r="F11" i="2"/>
  <c r="C11" i="2"/>
  <c r="C13" i="2" s="1"/>
  <c r="I30" i="2" l="1"/>
  <c r="I29" i="2"/>
  <c r="F30" i="2"/>
  <c r="F29" i="2"/>
  <c r="C30" i="2"/>
  <c r="C29" i="2"/>
  <c r="C15" i="2"/>
  <c r="C14" i="2"/>
  <c r="I14" i="2"/>
  <c r="I15" i="2"/>
  <c r="F14" i="2"/>
</calcChain>
</file>

<file path=xl/sharedStrings.xml><?xml version="1.0" encoding="utf-8"?>
<sst xmlns="http://schemas.openxmlformats.org/spreadsheetml/2006/main" count="49" uniqueCount="9">
  <si>
    <t>Caso Studio</t>
  </si>
  <si>
    <t>Media</t>
  </si>
  <si>
    <t>Deviazione Standard</t>
  </si>
  <si>
    <t xml:space="preserve">Dimensione del campione </t>
  </si>
  <si>
    <t>Confidenza</t>
  </si>
  <si>
    <t>α</t>
  </si>
  <si>
    <t>intervallo di confidenza</t>
  </si>
  <si>
    <t>margine inferiore</t>
  </si>
  <si>
    <t>margine superiore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</si>
</sst>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right"/>
    </xf>
    <xf numFmtId="0" fontId="0" fillId="2" borderId="0" xfId="0" applyFill="1"/>
    <xf numFmtId="2" fontId="0" fillId="3" borderId="0" xfId="0" applyNumberFormat="1" applyFill="1"/>
    <xf numFmtId="0" fontId="0" fillId="4" borderId="0" xfId="0" applyFill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1D667F-F71D-465D-8ED9-2ECFFD089121}">
  <we:reference id="wa200006518" version="1.2.0.0" store="it-IT" storeType="OMEX"/>
  <we:alternateReferences>
    <we:reference id="WA200006518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81DC-F5A6-4F8A-93B5-3B1A2421D22C}">
  <dimension ref="B3:I30"/>
  <sheetViews>
    <sheetView tabSelected="1" workbookViewId="0">
      <selection activeCell="H45" sqref="H45"/>
    </sheetView>
  </sheetViews>
  <sheetFormatPr defaultRowHeight="15" x14ac:dyDescent="0.25"/>
  <cols>
    <col min="2" max="2" width="25" bestFit="1" customWidth="1"/>
    <col min="5" max="5" width="25" bestFit="1" customWidth="1"/>
    <col min="8" max="8" width="25" bestFit="1" customWidth="1"/>
    <col min="12" max="12" width="25" bestFit="1" customWidth="1"/>
    <col min="15" max="15" width="25" bestFit="1" customWidth="1"/>
    <col min="18" max="18" width="25" bestFit="1" customWidth="1"/>
  </cols>
  <sheetData>
    <row r="3" spans="2:9" x14ac:dyDescent="0.25">
      <c r="B3" t="s">
        <v>0</v>
      </c>
    </row>
    <row r="6" spans="2:9" x14ac:dyDescent="0.25">
      <c r="B6" t="s">
        <v>1</v>
      </c>
      <c r="C6">
        <v>52</v>
      </c>
      <c r="E6" t="s">
        <v>1</v>
      </c>
      <c r="F6">
        <v>52</v>
      </c>
      <c r="H6" t="s">
        <v>1</v>
      </c>
      <c r="I6">
        <v>52</v>
      </c>
    </row>
    <row r="7" spans="2:9" x14ac:dyDescent="0.25">
      <c r="B7" t="s">
        <v>2</v>
      </c>
      <c r="C7">
        <v>9</v>
      </c>
      <c r="E7" t="s">
        <v>2</v>
      </c>
      <c r="F7">
        <v>9</v>
      </c>
      <c r="H7" t="s">
        <v>2</v>
      </c>
      <c r="I7">
        <v>9</v>
      </c>
    </row>
    <row r="8" spans="2:9" x14ac:dyDescent="0.25">
      <c r="B8" t="s">
        <v>3</v>
      </c>
      <c r="C8">
        <v>81</v>
      </c>
      <c r="E8" t="s">
        <v>3</v>
      </c>
      <c r="F8">
        <v>81</v>
      </c>
      <c r="H8" t="s">
        <v>3</v>
      </c>
      <c r="I8">
        <v>81</v>
      </c>
    </row>
    <row r="9" spans="2:9" x14ac:dyDescent="0.25">
      <c r="B9" t="s">
        <v>4</v>
      </c>
      <c r="C9">
        <v>0.9</v>
      </c>
      <c r="E9" t="s">
        <v>4</v>
      </c>
      <c r="F9">
        <v>0.95</v>
      </c>
      <c r="H9" t="s">
        <v>4</v>
      </c>
      <c r="I9">
        <v>0.99</v>
      </c>
    </row>
    <row r="11" spans="2:9" x14ac:dyDescent="0.25">
      <c r="B11" s="2" t="s">
        <v>5</v>
      </c>
      <c r="C11" s="4">
        <f>1-C9</f>
        <v>9.9999999999999978E-2</v>
      </c>
      <c r="E11" s="2" t="s">
        <v>5</v>
      </c>
      <c r="F11" s="3">
        <f>1-F9</f>
        <v>5.0000000000000044E-2</v>
      </c>
      <c r="H11" s="2" t="s">
        <v>5</v>
      </c>
      <c r="I11" s="5">
        <f>1-I9</f>
        <v>1.0000000000000009E-2</v>
      </c>
    </row>
    <row r="13" spans="2:9" x14ac:dyDescent="0.25">
      <c r="B13" t="s">
        <v>6</v>
      </c>
      <c r="C13" s="1">
        <f>_xlfn.CONFIDENCE.NORM(C11,C7,C8)</f>
        <v>1.6448536269514715</v>
      </c>
      <c r="E13" t="s">
        <v>6</v>
      </c>
      <c r="F13" s="1">
        <f>_xlfn.CONFIDENCE.NORM(F11,F7,F8)</f>
        <v>1.9599639845400536</v>
      </c>
      <c r="H13" t="s">
        <v>6</v>
      </c>
      <c r="I13" s="1">
        <f>_xlfn.CONFIDENCE.NORM(I11,I7,I8)</f>
        <v>2.5758293035488999</v>
      </c>
    </row>
    <row r="14" spans="2:9" x14ac:dyDescent="0.25">
      <c r="B14" t="s">
        <v>7</v>
      </c>
      <c r="C14" s="1">
        <f>C8-C13</f>
        <v>79.355146373048527</v>
      </c>
      <c r="E14" t="s">
        <v>7</v>
      </c>
      <c r="F14" s="1">
        <f>F8-F13</f>
        <v>79.040036015459947</v>
      </c>
      <c r="H14" t="s">
        <v>7</v>
      </c>
      <c r="I14" s="1">
        <f>I8-I13</f>
        <v>78.4241706964511</v>
      </c>
    </row>
    <row r="15" spans="2:9" x14ac:dyDescent="0.25">
      <c r="B15" t="s">
        <v>8</v>
      </c>
      <c r="C15" s="1">
        <f>C8+C13</f>
        <v>82.644853626951473</v>
      </c>
      <c r="E15" t="s">
        <v>8</v>
      </c>
      <c r="F15" s="1">
        <f>F8+F13</f>
        <v>82.959963984540053</v>
      </c>
      <c r="H15" t="s">
        <v>8</v>
      </c>
      <c r="I15" s="1">
        <f>I8+I13</f>
        <v>83.5758293035489</v>
      </c>
    </row>
    <row r="21" spans="2:9" x14ac:dyDescent="0.25">
      <c r="B21" t="s">
        <v>1</v>
      </c>
      <c r="C21">
        <v>52</v>
      </c>
      <c r="E21" t="s">
        <v>1</v>
      </c>
      <c r="F21">
        <v>52</v>
      </c>
      <c r="H21" t="s">
        <v>1</v>
      </c>
      <c r="I21">
        <v>52</v>
      </c>
    </row>
    <row r="22" spans="2:9" x14ac:dyDescent="0.25">
      <c r="B22" t="s">
        <v>2</v>
      </c>
      <c r="C22">
        <v>9</v>
      </c>
      <c r="E22" t="s">
        <v>2</v>
      </c>
      <c r="F22">
        <v>9</v>
      </c>
      <c r="H22" t="s">
        <v>2</v>
      </c>
      <c r="I22">
        <v>9</v>
      </c>
    </row>
    <row r="23" spans="2:9" x14ac:dyDescent="0.25">
      <c r="B23" t="s">
        <v>3</v>
      </c>
      <c r="C23">
        <v>324</v>
      </c>
      <c r="E23" t="s">
        <v>3</v>
      </c>
      <c r="F23">
        <v>324</v>
      </c>
      <c r="H23" t="s">
        <v>3</v>
      </c>
      <c r="I23">
        <v>324</v>
      </c>
    </row>
    <row r="24" spans="2:9" x14ac:dyDescent="0.25">
      <c r="B24" t="s">
        <v>4</v>
      </c>
      <c r="C24">
        <v>0.9</v>
      </c>
      <c r="E24" t="s">
        <v>4</v>
      </c>
      <c r="F24">
        <v>0.95</v>
      </c>
      <c r="H24" t="s">
        <v>4</v>
      </c>
      <c r="I24">
        <v>0.99</v>
      </c>
    </row>
    <row r="26" spans="2:9" x14ac:dyDescent="0.25">
      <c r="B26" s="2" t="s">
        <v>5</v>
      </c>
      <c r="C26" s="6">
        <f>1-C24</f>
        <v>9.9999999999999978E-2</v>
      </c>
      <c r="E26" s="2" t="s">
        <v>5</v>
      </c>
      <c r="F26" s="7">
        <f>1-F24</f>
        <v>5.0000000000000044E-2</v>
      </c>
      <c r="H26" s="2" t="s">
        <v>5</v>
      </c>
      <c r="I26" s="8">
        <f>1-I24</f>
        <v>1.0000000000000009E-2</v>
      </c>
    </row>
    <row r="28" spans="2:9" x14ac:dyDescent="0.25">
      <c r="B28" t="s">
        <v>6</v>
      </c>
      <c r="C28" s="1">
        <f>_xlfn.CONFIDENCE.NORM(C26,C22,C23)</f>
        <v>0.82242681347573576</v>
      </c>
      <c r="E28" t="s">
        <v>6</v>
      </c>
      <c r="F28" s="1">
        <f>_xlfn.CONFIDENCE.NORM(F26,F22,F23)</f>
        <v>0.9799819922700268</v>
      </c>
      <c r="H28" t="s">
        <v>6</v>
      </c>
      <c r="I28" s="1">
        <f>_xlfn.CONFIDENCE.NORM(I26,I22,I23)</f>
        <v>1.28791465177445</v>
      </c>
    </row>
    <row r="29" spans="2:9" x14ac:dyDescent="0.25">
      <c r="B29" t="s">
        <v>7</v>
      </c>
      <c r="C29" s="1">
        <f>C23-C28</f>
        <v>323.17757318652428</v>
      </c>
      <c r="E29" t="s">
        <v>7</v>
      </c>
      <c r="F29" s="1">
        <f>F23-F28</f>
        <v>323.02001800772996</v>
      </c>
      <c r="H29" t="s">
        <v>7</v>
      </c>
      <c r="I29" s="1">
        <f>I23-I28</f>
        <v>322.71208534822557</v>
      </c>
    </row>
    <row r="30" spans="2:9" x14ac:dyDescent="0.25">
      <c r="B30" t="s">
        <v>8</v>
      </c>
      <c r="C30" s="1">
        <f>C23+C28</f>
        <v>324.82242681347572</v>
      </c>
      <c r="E30" t="s">
        <v>8</v>
      </c>
      <c r="F30" s="1">
        <f>F23+F28</f>
        <v>324.97998199227004</v>
      </c>
      <c r="H30" t="s">
        <v>8</v>
      </c>
      <c r="I30" s="1">
        <f>I23+I28</f>
        <v>325.28791465177443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W2D1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Arcangeli</dc:creator>
  <cp:lastModifiedBy>Michel Arcangeli</cp:lastModifiedBy>
  <dcterms:created xsi:type="dcterms:W3CDTF">2015-06-05T18:17:20Z</dcterms:created>
  <dcterms:modified xsi:type="dcterms:W3CDTF">2026-07-07T06:44:54Z</dcterms:modified>
</cp:coreProperties>
</file>