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che\Desktop\Master in Ai Epicode\Esercizi\"/>
    </mc:Choice>
  </mc:AlternateContent>
  <xr:revisionPtr revIDLastSave="0" documentId="13_ncr:1_{5289E88D-A18F-4E91-85DD-7E5DFF0F3FBE}" xr6:coauthVersionLast="47" xr6:coauthVersionMax="47" xr10:uidLastSave="{00000000-0000-0000-0000-000000000000}"/>
  <bookViews>
    <workbookView xWindow="1995" yWindow="2220" windowWidth="38700" windowHeight="15345" xr2:uid="{00000000-000D-0000-FFFF-FFFF00000000}"/>
  </bookViews>
  <sheets>
    <sheet name="Esercizio W1D1" sheetId="1" r:id="rId1"/>
  </sheets>
  <definedNames>
    <definedName name="_xlchart.v1.0" hidden="1">'Esercizio W1D1'!$B$4</definedName>
    <definedName name="_xlchart.v1.1" hidden="1">'Esercizio W1D1'!$B$5:$B$16</definedName>
    <definedName name="_xlchart.v1.2" hidden="1">'Esercizio W1D1'!$B$22</definedName>
    <definedName name="_xlchart.v1.3" hidden="1">'Esercizio W1D1'!$B$23:$B$35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H27" i="1"/>
  <c r="E16" i="1"/>
  <c r="E15" i="1"/>
  <c r="I6" i="1"/>
  <c r="I9" i="1" s="1"/>
  <c r="E25" i="1" a="1"/>
  <c r="E25" i="1" s="1"/>
  <c r="E34" i="1"/>
  <c r="H26" i="1"/>
  <c r="H25" i="1"/>
  <c r="H24" i="1"/>
  <c r="E33" i="1"/>
  <c r="E30" i="1"/>
  <c r="E29" i="1"/>
  <c r="E28" i="1"/>
  <c r="E27" i="1"/>
  <c r="E24" i="1"/>
  <c r="E23" i="1"/>
  <c r="I7" i="1"/>
  <c r="I8" i="1"/>
  <c r="H7" i="1"/>
  <c r="H8" i="1"/>
  <c r="H6" i="1"/>
  <c r="E13" i="1"/>
  <c r="E12" i="1"/>
  <c r="E11" i="1"/>
  <c r="E10" i="1"/>
  <c r="E9" i="1"/>
  <c r="E7" i="1" a="1"/>
  <c r="E7" i="1" s="1"/>
  <c r="E6" i="1"/>
  <c r="E5" i="1"/>
  <c r="I28" i="1" l="1"/>
  <c r="E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<sst xmlns="http://schemas.openxmlformats.org/spreadsheetml/2006/main" count="38" uniqueCount="19">
  <si>
    <t>Descrivere un dataset</t>
  </si>
  <si>
    <t>Media</t>
  </si>
  <si>
    <t>Mediana</t>
  </si>
  <si>
    <t>Moda valori</t>
  </si>
  <si>
    <t>Varianza popolazione</t>
  </si>
  <si>
    <t>Dev.std</t>
  </si>
  <si>
    <t>Quartile Q1</t>
  </si>
  <si>
    <t>Quartile Q3</t>
  </si>
  <si>
    <t>IQR</t>
  </si>
  <si>
    <t>Tabella di Frequenza</t>
  </si>
  <si>
    <t>18-21</t>
  </si>
  <si>
    <t>Voti</t>
  </si>
  <si>
    <t xml:space="preserve">Frequenza </t>
  </si>
  <si>
    <t>Frequenza relativa</t>
  </si>
  <si>
    <t>22-25</t>
  </si>
  <si>
    <t>26-30</t>
  </si>
  <si>
    <t>TkQ1inf</t>
  </si>
  <si>
    <t>TkQ3sup</t>
  </si>
  <si>
    <t>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</si>
</sst>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8" borderId="4" xfId="0" applyFill="1" applyBorder="1" applyAlignment="1">
      <alignment horizontal="center" vertical="center"/>
    </xf>
    <xf numFmtId="2" fontId="0" fillId="8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fgColor theme="5" tint="0.39994506668294322"/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'Esercizio W1D1'!$H$5</c:f>
              <c:strCache>
                <c:ptCount val="1"/>
                <c:pt idx="0">
                  <c:v>Frequenza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'Esercizio W1D1'!$G$6:$G$8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'Esercizio W1D1'!$H$6:$H$8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8E5-B2EC-1B6D46AB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271"/>
        <c:axId val="2109327"/>
      </c:barChart>
      <c:catAx>
        <c:axId val="20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9327"/>
        <c:crosses val="autoZero"/>
        <c:auto val="1"/>
        <c:lblAlgn val="ctr"/>
        <c:lblOffset val="100"/>
        <c:noMultiLvlLbl val="0"/>
      </c:catAx>
      <c:valAx>
        <c:axId val="2109327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00000000-8C8E-4C67-A17D-38E14695AE79}">
          <cx:tx>
            <cx:txData>
              <cx:f>_xlchart.v1.0</cx:f>
              <cx:v>Voto</cx:v>
            </cx:txData>
          </cx:tx>
          <cx:dataLabels>
            <cx:visibility seriesName="0" categoryName="0" value="1"/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tx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tx1"/>
                      </a:solidFill>
                      <a:latin typeface="Calibri" panose="020F0502020204030204"/>
                    </a:rPr>
                    <a:t>26.66666667</a:t>
                  </a:r>
                </a:p>
              </cx:txPr>
              <cx:visibility seriesName="0" categoryName="0" value="1"/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30" min="18"/>
        <cx:majorGridlines/>
        <cx:majorTickMarks type="in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00000000-F68D-4A98-84ED-1473B7BDCAEE}">
          <cx:tx>
            <cx:txData>
              <cx:f>_xlchart.v1.2</cx:f>
              <cx:v>Voto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18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452437</xdr:colOff>
      <xdr:row>3</xdr:row>
      <xdr:rowOff>14287</xdr:rowOff>
    </xdr:from>
    <xdr:to>
      <xdr:col>16</xdr:col>
      <xdr:colOff>514350</xdr:colOff>
      <xdr:row>14</xdr:row>
      <xdr:rowOff>180975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FDCA034-451D-3F4F-8BE8-F9309192C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4762</xdr:rowOff>
    </xdr:from>
    <xdr:to>
      <xdr:col>24</xdr:col>
      <xdr:colOff>304800</xdr:colOff>
      <xdr:row>17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72554F6A-A47E-6DFE-0F46-1A5A334731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91950" y="595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585787</xdr:colOff>
      <xdr:row>19</xdr:row>
      <xdr:rowOff>33337</xdr:rowOff>
    </xdr:from>
    <xdr:to>
      <xdr:col>24</xdr:col>
      <xdr:colOff>219075</xdr:colOff>
      <xdr:row>33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F2C105C7-6C23-DF1A-524C-5D3D5CF684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8137" y="3681412"/>
              <a:ext cx="4510088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05D251-669F-480A-ACEC-AE85D528E2EC}">
  <we:reference id="wa200006518" version="1.2.0.0" store="it-IT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T231"/>
  <sheetViews>
    <sheetView tabSelected="1" zoomScaleNormal="100" workbookViewId="0">
      <selection activeCell="J39" sqref="J39"/>
    </sheetView>
  </sheetViews>
  <sheetFormatPr defaultRowHeight="15" x14ac:dyDescent="0.25"/>
  <cols>
    <col min="4" max="4" width="20.28515625" bestFit="1" customWidth="1"/>
    <col min="5" max="5" width="9.5703125" bestFit="1" customWidth="1"/>
    <col min="8" max="8" width="10.42578125" bestFit="1" customWidth="1"/>
    <col min="9" max="9" width="17.7109375" bestFit="1" customWidth="1"/>
  </cols>
  <sheetData>
    <row r="1" spans="1:46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thickBot="1" x14ac:dyDescent="0.3">
      <c r="A2" s="1"/>
      <c r="B2" s="16" t="s">
        <v>0</v>
      </c>
      <c r="C2" s="17"/>
      <c r="D2" s="1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4" t="s">
        <v>18</v>
      </c>
      <c r="C4" s="1"/>
      <c r="D4" s="1"/>
      <c r="E4" s="1"/>
      <c r="F4" s="1"/>
      <c r="G4" s="19" t="s">
        <v>9</v>
      </c>
      <c r="H4" s="19"/>
      <c r="I4" s="19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5">
        <v>18</v>
      </c>
      <c r="C5" s="1"/>
      <c r="D5" s="2" t="s">
        <v>1</v>
      </c>
      <c r="E5" s="3">
        <f>AVERAGE(B5:B16)</f>
        <v>26.666666666666668</v>
      </c>
      <c r="F5" s="1"/>
      <c r="G5" s="5" t="s">
        <v>11</v>
      </c>
      <c r="H5" s="5" t="s">
        <v>12</v>
      </c>
      <c r="I5" s="5" t="s">
        <v>13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/>
      <c r="B6" s="5">
        <v>22</v>
      </c>
      <c r="C6" s="1"/>
      <c r="D6" s="2" t="s">
        <v>2</v>
      </c>
      <c r="E6" s="2">
        <f>MEDIAN(B5:B16)</f>
        <v>28</v>
      </c>
      <c r="F6" s="1"/>
      <c r="G6" s="5" t="s">
        <v>10</v>
      </c>
      <c r="H6" s="5">
        <f>COUNTIFS($B$5:$B$16,"&gt;="&amp;LEFT(G6,2),$B$5:$B$16,"&lt;="&amp;RIGHT(G6,2))</f>
        <v>1</v>
      </c>
      <c r="I6" s="6">
        <f>H6/COUNT($B$5:$B$16)</f>
        <v>8.3333333333333329E-2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/>
      <c r="B7" s="5">
        <v>25</v>
      </c>
      <c r="C7" s="1"/>
      <c r="D7" s="2" t="s">
        <v>3</v>
      </c>
      <c r="E7" s="2" cm="1">
        <f t="array" ref="E7:E8">_xlfn.MODE.MULT(B5:B16)</f>
        <v>28</v>
      </c>
      <c r="F7" s="1"/>
      <c r="G7" s="5" t="s">
        <v>14</v>
      </c>
      <c r="H7" s="5">
        <f t="shared" ref="H7:H8" si="0">COUNTIFS($B$5:$B$16,"&gt;="&amp;LEFT(G7,2),$B$5:$B$16,"&lt;="&amp;RIGHT(G7,2))</f>
        <v>3</v>
      </c>
      <c r="I7" s="6">
        <f t="shared" ref="I7:I8" si="1">H7/COUNT($B$5:$B$16)</f>
        <v>0.25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/>
      <c r="B8" s="5">
        <v>25</v>
      </c>
      <c r="C8" s="1"/>
      <c r="D8" s="2"/>
      <c r="E8" s="2">
        <v>30</v>
      </c>
      <c r="F8" s="1"/>
      <c r="G8" s="14" t="s">
        <v>15</v>
      </c>
      <c r="H8" s="14">
        <f t="shared" si="0"/>
        <v>8</v>
      </c>
      <c r="I8" s="15">
        <f t="shared" si="1"/>
        <v>0.66666666666666663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/>
      <c r="B9" s="5">
        <v>27</v>
      </c>
      <c r="C9" s="1"/>
      <c r="D9" s="7" t="s">
        <v>4</v>
      </c>
      <c r="E9" s="8">
        <f>_xlfn.VAR.P(B5:B16)</f>
        <v>12.222222222222221</v>
      </c>
      <c r="F9" s="1"/>
      <c r="G9" s="5"/>
      <c r="H9" s="5"/>
      <c r="I9" s="6">
        <f>SUM(I6:I8)</f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/>
      <c r="B10" s="5">
        <v>28</v>
      </c>
      <c r="C10" s="1"/>
      <c r="D10" s="7" t="s">
        <v>5</v>
      </c>
      <c r="E10" s="8">
        <f>_xlfn.STDEV.P(B5:B16)</f>
        <v>3.496029493900505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/>
      <c r="B11" s="5">
        <v>28</v>
      </c>
      <c r="C11" s="1"/>
      <c r="D11" s="2" t="s">
        <v>6</v>
      </c>
      <c r="E11" s="2">
        <f>_xlfn.QUARTILE.INC(B5:B16,1)</f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/>
      <c r="B12" s="5">
        <v>28</v>
      </c>
      <c r="C12" s="1"/>
      <c r="D12" s="2" t="s">
        <v>7</v>
      </c>
      <c r="E12" s="2">
        <f>_xlfn.QUARTILE.INC(B5:B16,3)</f>
        <v>29.25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/>
      <c r="B13" s="5">
        <v>29</v>
      </c>
      <c r="C13" s="1"/>
      <c r="D13" s="2" t="s">
        <v>8</v>
      </c>
      <c r="E13" s="2">
        <f>E12-E11</f>
        <v>4.25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/>
      <c r="B14" s="5">
        <v>30</v>
      </c>
      <c r="C14" s="1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/>
      <c r="B15" s="5">
        <v>30</v>
      </c>
      <c r="C15" s="1"/>
      <c r="D15" s="2" t="s">
        <v>16</v>
      </c>
      <c r="E15" s="2">
        <f>E11-(1.5*E13)</f>
        <v>18.625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/>
      <c r="B16" s="5">
        <v>30</v>
      </c>
      <c r="C16" s="1"/>
      <c r="D16" s="2" t="s">
        <v>17</v>
      </c>
      <c r="E16" s="2">
        <f>E12+(1.5*E13)</f>
        <v>35.625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.75" thickBot="1" x14ac:dyDescent="0.3">
      <c r="A20" s="1"/>
      <c r="B20" s="16" t="s">
        <v>0</v>
      </c>
      <c r="C20" s="17"/>
      <c r="D20" s="1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/>
      <c r="B22" s="4" t="s">
        <v>18</v>
      </c>
      <c r="C22" s="1"/>
      <c r="D22" s="1"/>
      <c r="E22" s="1"/>
      <c r="F22" s="1"/>
      <c r="G22" s="19" t="s">
        <v>9</v>
      </c>
      <c r="H22" s="19"/>
      <c r="I22" s="19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/>
      <c r="B23" s="5">
        <v>18</v>
      </c>
      <c r="C23" s="1"/>
      <c r="D23" s="2" t="s">
        <v>1</v>
      </c>
      <c r="E23" s="3">
        <f>AVERAGE(B23:B35)</f>
        <v>31.923076923076923</v>
      </c>
      <c r="F23" s="1"/>
      <c r="G23" s="5" t="s">
        <v>11</v>
      </c>
      <c r="H23" s="5" t="s">
        <v>12</v>
      </c>
      <c r="I23" s="5" t="s">
        <v>13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/>
      <c r="B24" s="5">
        <v>22</v>
      </c>
      <c r="C24" s="1"/>
      <c r="D24" s="2" t="s">
        <v>2</v>
      </c>
      <c r="E24" s="2">
        <f>MEDIAN(B23:B35)</f>
        <v>28</v>
      </c>
      <c r="F24" s="1"/>
      <c r="G24" s="12" t="s">
        <v>10</v>
      </c>
      <c r="H24" s="12">
        <f>COUNTIFS($B$23:$B$35,"&gt;="&amp;LEFT(G24,2),$B$23:$B$35,"&lt;="&amp;RIGHT(G24,2))</f>
        <v>1</v>
      </c>
      <c r="I24" s="13">
        <f>H24/COUNT($B$23:$B$35)</f>
        <v>7.6923076923076927E-2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/>
      <c r="B25" s="5">
        <v>25</v>
      </c>
      <c r="C25" s="1"/>
      <c r="D25" s="2" t="s">
        <v>3</v>
      </c>
      <c r="E25" s="2" cm="1">
        <f t="array" ref="E25:E26">_xlfn.MODE.MULT(B23:B35)</f>
        <v>28</v>
      </c>
      <c r="F25" s="1"/>
      <c r="G25" s="5" t="s">
        <v>14</v>
      </c>
      <c r="H25" s="5">
        <f>COUNTIFS($B$23:$B$35,"&gt;="&amp;LEFT(G25,2),$B$23:$B$35,"&lt;="&amp;RIGHT(G25,2))</f>
        <v>3</v>
      </c>
      <c r="I25" s="6">
        <f>H25/COUNT($B$23:$B$35)</f>
        <v>0.23076923076923078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/>
      <c r="B26" s="5">
        <v>25</v>
      </c>
      <c r="C26" s="1"/>
      <c r="D26" s="2"/>
      <c r="E26" s="2">
        <v>30</v>
      </c>
      <c r="F26" s="1"/>
      <c r="G26" s="14" t="s">
        <v>15</v>
      </c>
      <c r="H26" s="14">
        <f>COUNTIFS($B$23:$B$35,"&gt;="&amp;LEFT(G26,2),$B$23:$B$35,"&lt;="&amp;RIGHT(G26,2))</f>
        <v>8</v>
      </c>
      <c r="I26" s="15">
        <f>H26/COUNT($B$23:$B$35)</f>
        <v>0.61538461538461542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/>
      <c r="B27" s="5">
        <v>27</v>
      </c>
      <c r="C27" s="1"/>
      <c r="D27" s="9" t="s">
        <v>4</v>
      </c>
      <c r="E27" s="10">
        <f>_xlfn.VAR.P(B23:B35)</f>
        <v>342.84023668639054</v>
      </c>
      <c r="F27" s="1"/>
      <c r="G27" s="12">
        <v>95</v>
      </c>
      <c r="H27" s="12">
        <f>COUNTIFS(B23:B35,G27)</f>
        <v>1</v>
      </c>
      <c r="I27" s="13">
        <f>H27/COUNT($B$23:$B$35)</f>
        <v>7.6923076923076927E-2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/>
      <c r="B28" s="5">
        <v>28</v>
      </c>
      <c r="C28" s="1"/>
      <c r="D28" s="9" t="s">
        <v>5</v>
      </c>
      <c r="E28" s="10">
        <f>_xlfn.STDEV.P(B23:B35)</f>
        <v>18.515945471036325</v>
      </c>
      <c r="F28" s="1"/>
      <c r="G28" s="1"/>
      <c r="H28" s="1"/>
      <c r="I28" s="6">
        <f>SUM(I24:I27)</f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/>
      <c r="B29" s="5">
        <v>28</v>
      </c>
      <c r="C29" s="1"/>
      <c r="D29" s="2" t="s">
        <v>6</v>
      </c>
      <c r="E29" s="2">
        <f>_xlfn.QUARTILE.INC(B23:B35,1)</f>
        <v>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/>
      <c r="B30" s="5">
        <v>28</v>
      </c>
      <c r="C30" s="1"/>
      <c r="D30" s="2" t="s">
        <v>7</v>
      </c>
      <c r="E30" s="2">
        <f>_xlfn.QUARTILE.INC(B23:B35,3)</f>
        <v>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/>
      <c r="B31" s="5">
        <v>29</v>
      </c>
      <c r="C31" s="1"/>
      <c r="D31" s="2" t="s">
        <v>8</v>
      </c>
      <c r="E31" s="2">
        <f>E30-E29</f>
        <v>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/>
      <c r="B32" s="5">
        <v>30</v>
      </c>
      <c r="C32" s="1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/>
      <c r="B33" s="5">
        <v>30</v>
      </c>
      <c r="C33" s="1"/>
      <c r="D33" s="2" t="s">
        <v>16</v>
      </c>
      <c r="E33" s="2">
        <f>E29-(1.5*E31)</f>
        <v>17.5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/>
      <c r="B34" s="5">
        <v>30</v>
      </c>
      <c r="C34" s="1"/>
      <c r="D34" s="2" t="s">
        <v>17</v>
      </c>
      <c r="E34" s="2">
        <f>E30+(1.5*E31)</f>
        <v>37.5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/>
      <c r="B35" s="5">
        <v>95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</sheetData>
  <mergeCells count="4">
    <mergeCell ref="B2:D2"/>
    <mergeCell ref="B20:D20"/>
    <mergeCell ref="G22:I22"/>
    <mergeCell ref="G4:I4"/>
  </mergeCells>
  <conditionalFormatting sqref="B5">
    <cfRule type="expression" dxfId="1" priority="1">
      <formula>$B$5&lt;=$E$15</formula>
    </cfRule>
  </conditionalFormatting>
  <conditionalFormatting sqref="B35">
    <cfRule type="expression" dxfId="0" priority="2">
      <formula>$B$35&gt;=$E$34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Esercizio W1D1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Arcangeli</dc:creator>
  <cp:lastModifiedBy>Michel Arcangeli</cp:lastModifiedBy>
  <dcterms:created xsi:type="dcterms:W3CDTF">2015-06-05T18:19:34Z</dcterms:created>
  <dcterms:modified xsi:type="dcterms:W3CDTF">2026-07-03T19:06:20Z</dcterms:modified>
</cp:coreProperties>
</file>