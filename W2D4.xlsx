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miche\Desktop\Master in Ai Epicode\Esercizi\"/>
    </mc:Choice>
  </mc:AlternateContent>
  <xr:revisionPtr revIDLastSave="0" documentId="13_ncr:1_{5AEF9ED9-99EC-4ADF-B712-AEF0E076A478}" xr6:coauthVersionLast="47" xr6:coauthVersionMax="47" xr10:uidLastSave="{00000000-0000-0000-0000-000000000000}"/>
  <bookViews>
    <workbookView xWindow="-120" yWindow="-120" windowWidth="51840" windowHeight="21120" activeTab="1" xr2:uid="{00000000-000D-0000-FFFF-FFFF00000000}"/>
  </bookViews>
  <sheets>
    <sheet name="Domande" sheetId="1" r:id="rId1"/>
    <sheet name="AB_Test" sheetId="2" r:id="rId2"/>
  </sheets>
  <definedNames>
    <definedName name="_xlchart.v1.0" hidden="1">AB_Test!$A$1:$A$2</definedName>
    <definedName name="_xlchart.v1.1" hidden="1">AB_Test!$A$3:$A$43</definedName>
    <definedName name="_xlchart.v1.10" hidden="1">AB_Test!$F$1:$F$2</definedName>
    <definedName name="_xlchart.v1.11" hidden="1">AB_Test!$F$3:$F$43</definedName>
    <definedName name="_xlchart.v1.12" hidden="1">AB_Test!$G$1:$G$2</definedName>
    <definedName name="_xlchart.v1.13" hidden="1">AB_Test!$G$3:$G$43</definedName>
    <definedName name="_xlchart.v1.14" hidden="1">AB_Test!$H$1:$H$2</definedName>
    <definedName name="_xlchart.v1.15" hidden="1">AB_Test!$H$3:$H$43</definedName>
    <definedName name="_xlchart.v1.16" hidden="1">AB_Test!$I$1:$I$2</definedName>
    <definedName name="_xlchart.v1.17" hidden="1">AB_Test!$I$3:$I$43</definedName>
    <definedName name="_xlchart.v1.18" hidden="1">AB_Test!$J$1:$J$2</definedName>
    <definedName name="_xlchart.v1.19" hidden="1">AB_Test!$J$3:$J$43</definedName>
    <definedName name="_xlchart.v1.2" hidden="1">AB_Test!$B$1:$B$2</definedName>
    <definedName name="_xlchart.v1.20" hidden="1">AB_Test!$A$1:$A$2</definedName>
    <definedName name="_xlchart.v1.21" hidden="1">AB_Test!$A$3:$A$43</definedName>
    <definedName name="_xlchart.v1.22" hidden="1">AB_Test!$B$1:$B$2</definedName>
    <definedName name="_xlchart.v1.23" hidden="1">AB_Test!$B$3:$B$43</definedName>
    <definedName name="_xlchart.v1.24" hidden="1">AB_Test!$C$1:$C$2</definedName>
    <definedName name="_xlchart.v1.25" hidden="1">AB_Test!$C$3:$C$43</definedName>
    <definedName name="_xlchart.v1.26" hidden="1">AB_Test!$D$1:$D$2</definedName>
    <definedName name="_xlchart.v1.27" hidden="1">AB_Test!$D$3:$D$43</definedName>
    <definedName name="_xlchart.v1.28" hidden="1">AB_Test!$E$1:$E$2</definedName>
    <definedName name="_xlchart.v1.29" hidden="1">AB_Test!$E$3:$E$43</definedName>
    <definedName name="_xlchart.v1.3" hidden="1">AB_Test!$B$3:$B$43</definedName>
    <definedName name="_xlchart.v1.30" hidden="1">AB_Test!$F$1:$F$2</definedName>
    <definedName name="_xlchart.v1.31" hidden="1">AB_Test!$F$3:$F$43</definedName>
    <definedName name="_xlchart.v1.32" hidden="1">AB_Test!$G$1:$G$2</definedName>
    <definedName name="_xlchart.v1.33" hidden="1">AB_Test!$G$3:$G$43</definedName>
    <definedName name="_xlchart.v1.34" hidden="1">AB_Test!$H$1:$H$2</definedName>
    <definedName name="_xlchart.v1.35" hidden="1">AB_Test!$H$3:$H$43</definedName>
    <definedName name="_xlchart.v1.36" hidden="1">AB_Test!$I$1:$I$2</definedName>
    <definedName name="_xlchart.v1.37" hidden="1">AB_Test!$I$3:$I$43</definedName>
    <definedName name="_xlchart.v1.38" hidden="1">AB_Test!$J$1:$J$2</definedName>
    <definedName name="_xlchart.v1.39" hidden="1">AB_Test!$J$3:$J$43</definedName>
    <definedName name="_xlchart.v1.4" hidden="1">AB_Test!$C$1:$C$2</definedName>
    <definedName name="_xlchart.v1.40" hidden="1">AB_Test!$A$3</definedName>
    <definedName name="_xlchart.v1.41" hidden="1">AB_Test!$A$4:$A$43</definedName>
    <definedName name="_xlchart.v1.42" hidden="1">AB_Test!$B$3</definedName>
    <definedName name="_xlchart.v1.43" hidden="1">AB_Test!$B$4:$B$43</definedName>
    <definedName name="_xlchart.v1.44" hidden="1">AB_Test!$D$24</definedName>
    <definedName name="_xlchart.v1.45" hidden="1">AB_Test!$E$23</definedName>
    <definedName name="_xlchart.v1.46" hidden="1">AB_Test!$E$24</definedName>
    <definedName name="_xlchart.v1.5" hidden="1">AB_Test!$C$3:$C$43</definedName>
    <definedName name="_xlchart.v1.6" hidden="1">AB_Test!$D$1:$D$2</definedName>
    <definedName name="_xlchart.v1.7" hidden="1">AB_Test!$D$3:$D$43</definedName>
    <definedName name="_xlchart.v1.8" hidden="1">AB_Test!$E$1:$E$2</definedName>
    <definedName name="_xlchart.v1.9" hidden="1">AB_Test!$E$3:$E$43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2" i="2" l="1"/>
  <c r="E11" i="2"/>
  <c r="E9" i="2"/>
  <c r="E8" i="2"/>
  <c r="E7" i="2"/>
  <c r="E6" i="2"/>
  <c r="E5" i="2"/>
  <c r="E4" i="2"/>
</calcChain>
</file>

<file path=xl/sharedStrings.xml><?xml version="1.0" encoding="utf-8"?>
<sst xmlns="http://schemas.openxmlformats.org/spreadsheetml/2006/main" count="40" uniqueCount="38">
  <si>
    <t>Formula H0 e H1 per la domanda</t>
  </si>
  <si>
    <t>La nuova mail produce una differenza negli acquisti?</t>
  </si>
  <si>
    <t>Utilizza la funzione test.t e annota il p-value ottenuto</t>
  </si>
  <si>
    <r>
      <t xml:space="preserve">con </t>
    </r>
    <r>
      <rPr>
        <sz val="11"/>
        <color theme="1"/>
        <rFont val="Calibri"/>
        <family val="2"/>
      </rPr>
      <t>α = 0.05 decidi se rifiutare H0 e scrivi la conclusione. Motiva la risposta confrontando il p-value con α</t>
    </r>
  </si>
  <si>
    <t>Riferendoti al caso, descrivi errore del I° o II° tipo</t>
  </si>
  <si>
    <t>progetta un test A/B indicando :</t>
  </si>
  <si>
    <t>H0</t>
  </si>
  <si>
    <t>H1</t>
  </si>
  <si>
    <t>metrica</t>
  </si>
  <si>
    <t>gruppi</t>
  </si>
  <si>
    <t xml:space="preserve">numerosità prevista </t>
  </si>
  <si>
    <t>criterio di decisione</t>
  </si>
  <si>
    <t>Criterio</t>
  </si>
  <si>
    <t>Ipotesi e conclusione</t>
  </si>
  <si>
    <t>Decisione</t>
  </si>
  <si>
    <t>p-value TEST.T</t>
  </si>
  <si>
    <t>Alpha</t>
  </si>
  <si>
    <t>n B</t>
  </si>
  <si>
    <t>n A</t>
  </si>
  <si>
    <t>Dev. std B</t>
  </si>
  <si>
    <t>Dev. std A</t>
  </si>
  <si>
    <t>Media B</t>
  </si>
  <si>
    <t>Media A</t>
  </si>
  <si>
    <t>Calcoli</t>
  </si>
  <si>
    <t>Esercizio A/B Test - caso significativo</t>
  </si>
  <si>
    <t>La nuova mail non aumenta gli acquisti rispetto la vecchia</t>
  </si>
  <si>
    <t>La nuova mail aumenta gli acquisti rispetto la vecchia</t>
  </si>
  <si>
    <r>
      <t xml:space="preserve">Scelgo </t>
    </r>
    <r>
      <rPr>
        <sz val="11"/>
        <rFont val="Calibri"/>
        <family val="2"/>
      </rPr>
      <t>α</t>
    </r>
    <r>
      <rPr>
        <sz val="11"/>
        <rFont val="Carlito"/>
      </rPr>
      <t xml:space="preserve"> = 0.05 </t>
    </r>
  </si>
  <si>
    <t>Conclusione</t>
  </si>
  <si>
    <t>La nuova mail genera dei risultati statisticamente significativi e incrementano il fatturato</t>
  </si>
  <si>
    <t xml:space="preserve">Errore del primo tipo </t>
  </si>
  <si>
    <t>Falso positivo</t>
  </si>
  <si>
    <t xml:space="preserve">Errore del secondo tipo </t>
  </si>
  <si>
    <t>Falso negativo</t>
  </si>
  <si>
    <r>
      <t xml:space="preserve">Nell'esempio poniamo a confronto il risultato ottenuto dal p-value con il valore scelto a priori di </t>
    </r>
    <r>
      <rPr>
        <sz val="11"/>
        <rFont val="Calibri"/>
        <family val="2"/>
      </rPr>
      <t>α; notiamo che è molto inferiore quindi non accettiamo la vecchia mail (nel nostro caso è H0), a favore della nuova mail (H1)</t>
    </r>
    <r>
      <rPr>
        <sz val="11"/>
        <rFont val="Carlito"/>
      </rPr>
      <t>.</t>
    </r>
  </si>
  <si>
    <r>
      <t xml:space="preserve">metto a confronto p-value e </t>
    </r>
    <r>
      <rPr>
        <sz val="11"/>
        <rFont val="Calibri"/>
        <family val="2"/>
      </rPr>
      <t>α</t>
    </r>
  </si>
  <si>
    <t>H0 = vecchia mail</t>
  </si>
  <si>
    <t>H1 = nuova 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</si>
</sst>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7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name val="Carlito"/>
    </font>
    <font>
      <b/>
      <sz val="11"/>
      <name val="Carlito"/>
    </font>
    <font>
      <b/>
      <sz val="11"/>
      <color rgb="FFFFFFFF"/>
      <name val="Carlito"/>
    </font>
    <font>
      <b/>
      <sz val="14"/>
      <color rgb="FFFFFFFF"/>
      <name val="Carlito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3" tint="0.39997558519241921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26">
    <xf numFmtId="0" fontId="0" fillId="0" borderId="0" xfId="0"/>
    <xf numFmtId="0" fontId="0" fillId="0" borderId="0" xfId="0" applyAlignment="1">
      <alignment horizontal="center" vertical="center" wrapText="1"/>
    </xf>
    <xf numFmtId="0" fontId="2" fillId="0" borderId="0" xfId="1"/>
    <xf numFmtId="1" fontId="2" fillId="0" borderId="0" xfId="1" applyNumberFormat="1"/>
    <xf numFmtId="0" fontId="0" fillId="0" borderId="0" xfId="0" applyAlignment="1">
      <alignment vertical="center"/>
    </xf>
    <xf numFmtId="0" fontId="2" fillId="2" borderId="0" xfId="1" applyFill="1"/>
    <xf numFmtId="0" fontId="2" fillId="2" borderId="0" xfId="1" applyFill="1" applyAlignment="1">
      <alignment horizontal="right"/>
    </xf>
    <xf numFmtId="0" fontId="3" fillId="2" borderId="0" xfId="1" applyFont="1" applyFill="1" applyAlignment="1">
      <alignment wrapText="1"/>
    </xf>
    <xf numFmtId="0" fontId="2" fillId="2" borderId="0" xfId="1" applyFill="1" applyAlignment="1">
      <alignment wrapText="1"/>
    </xf>
    <xf numFmtId="0" fontId="2" fillId="2" borderId="0" xfId="1" applyFill="1" applyAlignment="1">
      <alignment horizontal="center" vertical="center" wrapText="1"/>
    </xf>
    <xf numFmtId="0" fontId="5" fillId="3" borderId="0" xfId="1" applyFont="1" applyFill="1" applyAlignment="1">
      <alignment horizontal="center" vertical="center"/>
    </xf>
    <xf numFmtId="0" fontId="3" fillId="2" borderId="0" xfId="1" applyFont="1" applyFill="1" applyAlignment="1"/>
    <xf numFmtId="0" fontId="3" fillId="3" borderId="1" xfId="1" applyFont="1" applyFill="1" applyBorder="1" applyAlignment="1">
      <alignment horizontal="center" vertical="center"/>
    </xf>
    <xf numFmtId="0" fontId="3" fillId="3" borderId="2" xfId="1" applyFont="1" applyFill="1" applyBorder="1" applyAlignment="1">
      <alignment horizontal="center" vertical="center"/>
    </xf>
    <xf numFmtId="0" fontId="3" fillId="2" borderId="3" xfId="1" applyFont="1" applyFill="1" applyBorder="1" applyAlignment="1">
      <alignment wrapText="1"/>
    </xf>
    <xf numFmtId="0" fontId="2" fillId="2" borderId="4" xfId="1" applyFill="1" applyBorder="1" applyAlignment="1">
      <alignment wrapText="1"/>
    </xf>
    <xf numFmtId="0" fontId="3" fillId="2" borderId="5" xfId="1" applyFont="1" applyFill="1" applyBorder="1" applyAlignment="1">
      <alignment wrapText="1"/>
    </xf>
    <xf numFmtId="0" fontId="2" fillId="2" borderId="6" xfId="1" applyFill="1" applyBorder="1" applyAlignment="1">
      <alignment wrapText="1"/>
    </xf>
    <xf numFmtId="0" fontId="3" fillId="2" borderId="3" xfId="1" applyFont="1" applyFill="1" applyBorder="1" applyAlignment="1">
      <alignment horizontal="center" vertical="center"/>
    </xf>
    <xf numFmtId="2" fontId="2" fillId="2" borderId="4" xfId="1" applyNumberFormat="1" applyFill="1" applyBorder="1" applyAlignment="1">
      <alignment horizontal="center" vertical="center"/>
    </xf>
    <xf numFmtId="1" fontId="2" fillId="2" borderId="4" xfId="1" applyNumberFormat="1" applyFill="1" applyBorder="1" applyAlignment="1">
      <alignment horizontal="center" vertical="center"/>
    </xf>
    <xf numFmtId="164" fontId="2" fillId="2" borderId="4" xfId="1" applyNumberFormat="1" applyFill="1" applyBorder="1" applyAlignment="1">
      <alignment horizontal="center" vertical="center"/>
    </xf>
    <xf numFmtId="0" fontId="3" fillId="2" borderId="5" xfId="1" applyFont="1" applyFill="1" applyBorder="1" applyAlignment="1">
      <alignment horizontal="center" vertical="center"/>
    </xf>
    <xf numFmtId="0" fontId="2" fillId="2" borderId="6" xfId="1" applyFill="1" applyBorder="1" applyAlignment="1">
      <alignment horizontal="center" vertical="center"/>
    </xf>
    <xf numFmtId="0" fontId="4" fillId="3" borderId="7" xfId="1" applyFont="1" applyFill="1" applyBorder="1" applyAlignment="1">
      <alignment horizontal="center" vertical="center"/>
    </xf>
    <xf numFmtId="1" fontId="2" fillId="2" borderId="7" xfId="1" applyNumberFormat="1" applyFill="1" applyBorder="1" applyAlignment="1">
      <alignment horizontal="center" vertical="center"/>
    </xf>
  </cellXfs>
  <cellStyles count="2">
    <cellStyle name="Normal" xfId="0" builtinId="0"/>
    <cellStyle name="Normal 2" xfId="1" xr:uid="{08523048-6CEB-4141-B6EB-EF123EBE2C6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AB_Test!$D$4</c:f>
              <c:strCache>
                <c:ptCount val="1"/>
                <c:pt idx="0">
                  <c:v>Media 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AB_Test!$E$4</c:f>
              <c:numCache>
                <c:formatCode>0.00</c:formatCode>
                <c:ptCount val="1"/>
                <c:pt idx="0">
                  <c:v>46.6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CBB-4B14-8ACD-7F4D1CFE61E4}"/>
            </c:ext>
          </c:extLst>
        </c:ser>
        <c:ser>
          <c:idx val="1"/>
          <c:order val="1"/>
          <c:tx>
            <c:strRef>
              <c:f>AB_Test!$D$5</c:f>
              <c:strCache>
                <c:ptCount val="1"/>
                <c:pt idx="0">
                  <c:v>Media B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AB_Test!$E$5</c:f>
              <c:numCache>
                <c:formatCode>0.00</c:formatCode>
                <c:ptCount val="1"/>
                <c:pt idx="0">
                  <c:v>52.7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CBB-4B14-8ACD-7F4D1CFE61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69121887"/>
        <c:axId val="1373679375"/>
      </c:barChart>
      <c:catAx>
        <c:axId val="12691218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373679375"/>
        <c:crosses val="autoZero"/>
        <c:auto val="1"/>
        <c:lblAlgn val="ctr"/>
        <c:lblOffset val="100"/>
        <c:noMultiLvlLbl val="0"/>
      </c:catAx>
      <c:valAx>
        <c:axId val="13736793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2691218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_xlchart.v1.41</cx:f>
      </cx:numDim>
    </cx:data>
    <cx:data id="1">
      <cx:numDim type="val">
        <cx:f>_xlchart.v1.43</cx:f>
      </cx:numDim>
    </cx:data>
  </cx:chartData>
  <cx:chart>
    <cx:plotArea>
      <cx:plotAreaRegion>
        <cx:series layoutId="boxWhisker" uniqueId="{00000000-DAFD-4857-B258-02EE2BE5CBB0}">
          <cx:tx>
            <cx:txData>
              <cx:f>_xlchart.v1.40</cx:f>
              <cx:v>H0 = vecchia mail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00000001-DAFD-4857-B258-02EE2BE5CBB0}">
          <cx:tx>
            <cx:txData>
              <cx:f>_xlchart.v1.42</cx:f>
              <cx:v>H1 = nuova mail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</cx:plotAreaRegion>
      <cx:axis id="0" hidden="1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2590800</xdr:colOff>
      <xdr:row>28</xdr:row>
      <xdr:rowOff>52387</xdr:rowOff>
    </xdr:from>
    <xdr:to>
      <xdr:col>7</xdr:col>
      <xdr:colOff>428625</xdr:colOff>
      <xdr:row>43</xdr:row>
      <xdr:rowOff>80962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104CB059-7F07-B166-6FA8-75682B55350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534400" y="6129337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it-IT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2</xdr:col>
      <xdr:colOff>266700</xdr:colOff>
      <xdr:row>28</xdr:row>
      <xdr:rowOff>42862</xdr:rowOff>
    </xdr:from>
    <xdr:to>
      <xdr:col>4</xdr:col>
      <xdr:colOff>2552700</xdr:colOff>
      <xdr:row>43</xdr:row>
      <xdr:rowOff>71437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B5F8FAA8-CF11-EC9F-5846-B53DAA829EB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B24"/>
  <sheetViews>
    <sheetView workbookViewId="0">
      <selection activeCell="B32" sqref="B32"/>
    </sheetView>
  </sheetViews>
  <sheetFormatPr defaultRowHeight="15"/>
  <cols>
    <col min="2" max="2" width="51" bestFit="1" customWidth="1"/>
  </cols>
  <sheetData>
    <row r="2" spans="1:2">
      <c r="B2" t="s">
        <v>0</v>
      </c>
    </row>
    <row r="4" spans="1:2">
      <c r="A4">
        <v>1</v>
      </c>
      <c r="B4" t="s">
        <v>1</v>
      </c>
    </row>
    <row r="6" spans="1:2">
      <c r="A6">
        <v>2</v>
      </c>
      <c r="B6" t="s">
        <v>2</v>
      </c>
    </row>
    <row r="8" spans="1:2">
      <c r="A8">
        <v>3</v>
      </c>
      <c r="B8" s="1" t="s">
        <v>3</v>
      </c>
    </row>
    <row r="9" spans="1:2">
      <c r="B9" s="1"/>
    </row>
    <row r="11" spans="1:2">
      <c r="A11">
        <v>4</v>
      </c>
      <c r="B11" t="s">
        <v>4</v>
      </c>
    </row>
    <row r="13" spans="1:2">
      <c r="A13">
        <v>5</v>
      </c>
      <c r="B13" t="s">
        <v>5</v>
      </c>
    </row>
    <row r="14" spans="1:2">
      <c r="B14" t="s">
        <v>6</v>
      </c>
    </row>
    <row r="15" spans="1:2">
      <c r="B15" t="s">
        <v>7</v>
      </c>
    </row>
    <row r="16" spans="1:2">
      <c r="B16" t="s">
        <v>8</v>
      </c>
    </row>
    <row r="17" spans="2:2">
      <c r="B17" t="s">
        <v>9</v>
      </c>
    </row>
    <row r="18" spans="2:2">
      <c r="B18" t="s">
        <v>10</v>
      </c>
    </row>
    <row r="19" spans="2:2">
      <c r="B19" t="s">
        <v>11</v>
      </c>
    </row>
    <row r="23" spans="2:2">
      <c r="B23" s="4"/>
    </row>
    <row r="24" spans="2:2">
      <c r="B24" s="4"/>
    </row>
  </sheetData>
  <mergeCells count="1">
    <mergeCell ref="B8:B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CD425B-22EE-4A80-9AD7-DA8588C10855}">
  <dimension ref="A1:J44"/>
  <sheetViews>
    <sheetView tabSelected="1" workbookViewId="0">
      <selection activeCell="P32" sqref="P32"/>
    </sheetView>
  </sheetViews>
  <sheetFormatPr defaultRowHeight="14.25"/>
  <cols>
    <col min="1" max="2" width="27.42578125" style="2" customWidth="1"/>
    <col min="3" max="3" width="9.140625" style="2"/>
    <col min="4" max="4" width="25.140625" style="2" customWidth="1"/>
    <col min="5" max="5" width="39.28515625" style="2" customWidth="1"/>
    <col min="6" max="6" width="52.5703125" style="2" customWidth="1"/>
    <col min="7" max="16384" width="9.140625" style="2"/>
  </cols>
  <sheetData>
    <row r="1" spans="1:10" ht="24" customHeight="1">
      <c r="A1" s="10" t="s">
        <v>24</v>
      </c>
      <c r="B1" s="10"/>
      <c r="C1" s="10"/>
      <c r="D1" s="10"/>
      <c r="E1" s="10"/>
      <c r="F1" s="10"/>
      <c r="G1" s="10"/>
      <c r="H1" s="10"/>
    </row>
    <row r="2" spans="1:10" ht="15" thickBot="1">
      <c r="A2" s="5"/>
      <c r="B2" s="5"/>
      <c r="C2" s="5"/>
      <c r="D2" s="5"/>
      <c r="E2" s="5"/>
      <c r="F2" s="5"/>
      <c r="G2" s="5"/>
      <c r="H2" s="5"/>
    </row>
    <row r="3" spans="1:10" ht="15">
      <c r="A3" s="24" t="s">
        <v>36</v>
      </c>
      <c r="B3" s="24" t="s">
        <v>37</v>
      </c>
      <c r="C3" s="5"/>
      <c r="D3" s="12" t="s">
        <v>23</v>
      </c>
      <c r="E3" s="13"/>
      <c r="F3" s="11"/>
      <c r="G3" s="11"/>
      <c r="H3" s="11"/>
      <c r="I3" s="3"/>
      <c r="J3" s="3"/>
    </row>
    <row r="4" spans="1:10" ht="15">
      <c r="A4" s="25">
        <v>65</v>
      </c>
      <c r="B4" s="25">
        <v>56</v>
      </c>
      <c r="C4" s="5"/>
      <c r="D4" s="18" t="s">
        <v>22</v>
      </c>
      <c r="E4" s="19">
        <f>AVERAGE(A4:A43)</f>
        <v>46.6</v>
      </c>
      <c r="F4" s="5"/>
      <c r="G4" s="5"/>
      <c r="H4" s="5"/>
    </row>
    <row r="5" spans="1:10" ht="15">
      <c r="A5" s="25">
        <v>24</v>
      </c>
      <c r="B5" s="25">
        <v>60</v>
      </c>
      <c r="C5" s="5"/>
      <c r="D5" s="18" t="s">
        <v>21</v>
      </c>
      <c r="E5" s="19">
        <f>AVERAGE(B4:B43)</f>
        <v>52.7</v>
      </c>
      <c r="F5" s="5"/>
      <c r="G5" s="5"/>
      <c r="H5" s="5"/>
    </row>
    <row r="6" spans="1:10" ht="15">
      <c r="A6" s="25">
        <v>51</v>
      </c>
      <c r="B6" s="25">
        <v>50</v>
      </c>
      <c r="C6" s="5"/>
      <c r="D6" s="18" t="s">
        <v>20</v>
      </c>
      <c r="E6" s="19">
        <f>_xlfn.STDEV.S(A4:A43)</f>
        <v>10.529080608559259</v>
      </c>
      <c r="F6" s="5"/>
      <c r="G6" s="5"/>
      <c r="H6" s="5"/>
    </row>
    <row r="7" spans="1:10" ht="15">
      <c r="A7" s="25">
        <v>42</v>
      </c>
      <c r="B7" s="25">
        <v>44</v>
      </c>
      <c r="C7" s="5"/>
      <c r="D7" s="18" t="s">
        <v>19</v>
      </c>
      <c r="E7" s="19">
        <f>_xlfn.STDEV.S(B4:B43)</f>
        <v>9.089864741878225</v>
      </c>
      <c r="F7" s="5"/>
      <c r="G7" s="5"/>
      <c r="H7" s="5"/>
    </row>
    <row r="8" spans="1:10" ht="15">
      <c r="A8" s="25">
        <v>43</v>
      </c>
      <c r="B8" s="25">
        <v>54</v>
      </c>
      <c r="C8" s="5"/>
      <c r="D8" s="18" t="s">
        <v>18</v>
      </c>
      <c r="E8" s="20">
        <f>COUNT(A4:A43)</f>
        <v>40</v>
      </c>
      <c r="F8" s="5"/>
      <c r="G8" s="5"/>
      <c r="H8" s="5"/>
    </row>
    <row r="9" spans="1:10" ht="15">
      <c r="A9" s="25">
        <v>45</v>
      </c>
      <c r="B9" s="25">
        <v>54</v>
      </c>
      <c r="C9" s="5"/>
      <c r="D9" s="18" t="s">
        <v>17</v>
      </c>
      <c r="E9" s="20">
        <f>COUNT(B4:B43)</f>
        <v>40</v>
      </c>
      <c r="F9" s="5"/>
      <c r="G9" s="5"/>
      <c r="H9" s="5"/>
    </row>
    <row r="10" spans="1:10" ht="15">
      <c r="A10" s="25">
        <v>29</v>
      </c>
      <c r="B10" s="25">
        <v>67</v>
      </c>
      <c r="C10" s="5"/>
      <c r="D10" s="18" t="s">
        <v>16</v>
      </c>
      <c r="E10" s="21">
        <v>0.05</v>
      </c>
      <c r="F10" s="6" t="s">
        <v>27</v>
      </c>
      <c r="G10" s="5"/>
      <c r="H10" s="5"/>
    </row>
    <row r="11" spans="1:10" ht="15">
      <c r="A11" s="25">
        <v>45</v>
      </c>
      <c r="B11" s="25">
        <v>61</v>
      </c>
      <c r="C11" s="5"/>
      <c r="D11" s="18" t="s">
        <v>15</v>
      </c>
      <c r="E11" s="21">
        <f>_xlfn.T.TEST(A4:A43,B4:B43,2,2)</f>
        <v>6.9343457041178376E-3</v>
      </c>
      <c r="F11" s="5"/>
      <c r="G11" s="5"/>
      <c r="H11" s="5"/>
    </row>
    <row r="12" spans="1:10" ht="15.75" thickBot="1">
      <c r="A12" s="25">
        <v>39</v>
      </c>
      <c r="B12" s="25">
        <v>56</v>
      </c>
      <c r="C12" s="5"/>
      <c r="D12" s="22" t="s">
        <v>14</v>
      </c>
      <c r="E12" s="23" t="str">
        <f>IF(E11&lt;=E10,"Rifiuto H0","Non rifiuto H0")</f>
        <v>Rifiuto H0</v>
      </c>
      <c r="F12" s="5"/>
      <c r="G12" s="5"/>
      <c r="H12" s="5"/>
    </row>
    <row r="13" spans="1:10">
      <c r="A13" s="25">
        <v>77</v>
      </c>
      <c r="B13" s="25">
        <v>64</v>
      </c>
      <c r="C13" s="5"/>
      <c r="D13" s="5"/>
      <c r="E13" s="5"/>
      <c r="F13" s="5"/>
      <c r="G13" s="5"/>
      <c r="H13" s="5"/>
    </row>
    <row r="14" spans="1:10" ht="15" thickBot="1">
      <c r="A14" s="25">
        <v>49</v>
      </c>
      <c r="B14" s="25">
        <v>52</v>
      </c>
      <c r="C14" s="5"/>
      <c r="D14" s="5"/>
      <c r="E14" s="5"/>
      <c r="F14" s="5"/>
      <c r="G14" s="5"/>
      <c r="H14" s="5"/>
    </row>
    <row r="15" spans="1:10" ht="15">
      <c r="A15" s="25">
        <v>44</v>
      </c>
      <c r="B15" s="25">
        <v>46</v>
      </c>
      <c r="C15" s="5"/>
      <c r="D15" s="12" t="s">
        <v>13</v>
      </c>
      <c r="E15" s="13"/>
      <c r="F15" s="11"/>
      <c r="G15" s="11"/>
      <c r="H15" s="11"/>
    </row>
    <row r="16" spans="1:10" ht="29.25">
      <c r="A16" s="25">
        <v>44</v>
      </c>
      <c r="B16" s="25">
        <v>59</v>
      </c>
      <c r="C16" s="5"/>
      <c r="D16" s="14" t="s">
        <v>6</v>
      </c>
      <c r="E16" s="15" t="s">
        <v>25</v>
      </c>
      <c r="F16" s="8"/>
      <c r="G16" s="8"/>
      <c r="H16" s="8"/>
    </row>
    <row r="17" spans="1:8" ht="29.25">
      <c r="A17" s="25">
        <v>41</v>
      </c>
      <c r="B17" s="25">
        <v>59</v>
      </c>
      <c r="C17" s="5"/>
      <c r="D17" s="14" t="s">
        <v>7</v>
      </c>
      <c r="E17" s="15" t="s">
        <v>26</v>
      </c>
      <c r="F17" s="8"/>
      <c r="G17" s="8"/>
      <c r="H17" s="8"/>
    </row>
    <row r="18" spans="1:8" ht="15">
      <c r="A18" s="25">
        <v>38</v>
      </c>
      <c r="B18" s="25">
        <v>52</v>
      </c>
      <c r="C18" s="5"/>
      <c r="D18" s="14" t="s">
        <v>12</v>
      </c>
      <c r="E18" s="15" t="s">
        <v>35</v>
      </c>
      <c r="F18" s="8"/>
      <c r="G18" s="8"/>
      <c r="H18" s="8"/>
    </row>
    <row r="19" spans="1:8" ht="44.25" thickBot="1">
      <c r="A19" s="25">
        <v>43</v>
      </c>
      <c r="B19" s="25">
        <v>47</v>
      </c>
      <c r="C19" s="5"/>
      <c r="D19" s="16" t="s">
        <v>28</v>
      </c>
      <c r="E19" s="17" t="s">
        <v>29</v>
      </c>
      <c r="F19" s="8"/>
      <c r="G19" s="8"/>
      <c r="H19" s="8"/>
    </row>
    <row r="20" spans="1:8" ht="15">
      <c r="A20" s="25">
        <v>51</v>
      </c>
      <c r="B20" s="25">
        <v>56</v>
      </c>
      <c r="C20" s="5"/>
      <c r="D20" s="7"/>
      <c r="E20" s="8"/>
      <c r="F20" s="8"/>
      <c r="G20" s="8"/>
      <c r="H20" s="8"/>
    </row>
    <row r="21" spans="1:8">
      <c r="A21" s="25">
        <v>45</v>
      </c>
      <c r="B21" s="25">
        <v>32</v>
      </c>
      <c r="C21" s="5"/>
      <c r="D21" s="5"/>
      <c r="E21" s="5"/>
      <c r="F21" s="5"/>
      <c r="G21" s="5"/>
      <c r="H21" s="5"/>
    </row>
    <row r="22" spans="1:8">
      <c r="A22" s="25">
        <v>56</v>
      </c>
      <c r="B22" s="25">
        <v>60</v>
      </c>
      <c r="C22" s="5"/>
      <c r="D22" s="5"/>
      <c r="E22" s="5"/>
      <c r="F22" s="5"/>
      <c r="G22" s="5"/>
      <c r="H22" s="5"/>
    </row>
    <row r="23" spans="1:8">
      <c r="A23" s="25">
        <v>45</v>
      </c>
      <c r="B23" s="25">
        <v>58</v>
      </c>
      <c r="C23" s="5"/>
      <c r="D23" s="5" t="s">
        <v>30</v>
      </c>
      <c r="E23" s="5" t="s">
        <v>31</v>
      </c>
      <c r="F23" s="5"/>
      <c r="G23" s="5"/>
      <c r="H23" s="5"/>
    </row>
    <row r="24" spans="1:8">
      <c r="A24" s="25">
        <v>47</v>
      </c>
      <c r="B24" s="25">
        <v>39</v>
      </c>
      <c r="C24" s="5"/>
      <c r="D24" s="5" t="s">
        <v>32</v>
      </c>
      <c r="E24" s="5" t="s">
        <v>33</v>
      </c>
      <c r="F24" s="5"/>
      <c r="G24" s="5"/>
      <c r="H24" s="5"/>
    </row>
    <row r="25" spans="1:8">
      <c r="A25" s="25">
        <v>61</v>
      </c>
      <c r="B25" s="25">
        <v>55</v>
      </c>
      <c r="C25" s="5"/>
      <c r="D25" s="5"/>
      <c r="E25" s="5"/>
      <c r="F25" s="5"/>
      <c r="G25" s="5"/>
      <c r="H25" s="5"/>
    </row>
    <row r="26" spans="1:8">
      <c r="A26" s="25">
        <v>52</v>
      </c>
      <c r="B26" s="25">
        <v>45</v>
      </c>
      <c r="C26" s="5"/>
      <c r="D26" s="5"/>
      <c r="E26" s="5"/>
      <c r="F26" s="5"/>
      <c r="G26" s="5"/>
      <c r="H26" s="5"/>
    </row>
    <row r="27" spans="1:8" ht="15" customHeight="1">
      <c r="A27" s="25">
        <v>42</v>
      </c>
      <c r="B27" s="25">
        <v>61</v>
      </c>
      <c r="C27" s="5"/>
      <c r="D27" s="9" t="s">
        <v>34</v>
      </c>
      <c r="E27" s="9"/>
      <c r="F27" s="9"/>
      <c r="G27" s="9"/>
      <c r="H27" s="9"/>
    </row>
    <row r="28" spans="1:8">
      <c r="A28" s="25">
        <v>45</v>
      </c>
      <c r="B28" s="25">
        <v>36</v>
      </c>
      <c r="C28" s="5"/>
      <c r="D28" s="9"/>
      <c r="E28" s="9"/>
      <c r="F28" s="9"/>
      <c r="G28" s="9"/>
      <c r="H28" s="9"/>
    </row>
    <row r="29" spans="1:8">
      <c r="A29" s="25">
        <v>52</v>
      </c>
      <c r="B29" s="25">
        <v>46</v>
      </c>
      <c r="C29" s="5"/>
      <c r="D29" s="5"/>
      <c r="E29" s="5"/>
      <c r="F29" s="5"/>
      <c r="G29" s="5"/>
      <c r="H29" s="5"/>
    </row>
    <row r="30" spans="1:8">
      <c r="A30" s="25">
        <v>64</v>
      </c>
      <c r="B30" s="25">
        <v>60</v>
      </c>
      <c r="C30" s="5"/>
      <c r="D30" s="5"/>
      <c r="E30" s="5"/>
      <c r="F30" s="5"/>
      <c r="G30" s="5"/>
      <c r="H30" s="5"/>
    </row>
    <row r="31" spans="1:8">
      <c r="A31" s="25">
        <v>45</v>
      </c>
      <c r="B31" s="25">
        <v>64</v>
      </c>
      <c r="C31" s="5"/>
      <c r="D31" s="5"/>
      <c r="E31" s="5"/>
      <c r="F31" s="5"/>
      <c r="G31" s="5"/>
      <c r="H31" s="5"/>
    </row>
    <row r="32" spans="1:8">
      <c r="A32" s="25">
        <v>45</v>
      </c>
      <c r="B32" s="25">
        <v>35</v>
      </c>
      <c r="C32" s="5"/>
      <c r="D32" s="5"/>
      <c r="E32" s="5"/>
      <c r="F32" s="5"/>
      <c r="G32" s="5"/>
      <c r="H32" s="5"/>
    </row>
    <row r="33" spans="1:8">
      <c r="A33" s="25">
        <v>56</v>
      </c>
      <c r="B33" s="25">
        <v>50</v>
      </c>
      <c r="C33" s="5"/>
      <c r="D33" s="5"/>
      <c r="E33" s="5"/>
      <c r="F33" s="5"/>
      <c r="G33" s="5"/>
      <c r="H33" s="5"/>
    </row>
    <row r="34" spans="1:8">
      <c r="A34" s="25">
        <v>39</v>
      </c>
      <c r="B34" s="25">
        <v>57</v>
      </c>
      <c r="C34" s="5"/>
      <c r="D34" s="5"/>
      <c r="E34" s="5"/>
      <c r="F34" s="5"/>
      <c r="G34" s="5"/>
      <c r="H34" s="5"/>
    </row>
    <row r="35" spans="1:8">
      <c r="A35" s="25">
        <v>44</v>
      </c>
      <c r="B35" s="25">
        <v>49</v>
      </c>
      <c r="C35" s="5"/>
      <c r="D35" s="5"/>
      <c r="E35" s="5"/>
      <c r="F35" s="5"/>
      <c r="G35" s="5"/>
      <c r="H35" s="5"/>
    </row>
    <row r="36" spans="1:8">
      <c r="A36" s="25">
        <v>55</v>
      </c>
      <c r="B36" s="25">
        <v>68</v>
      </c>
      <c r="C36" s="5"/>
      <c r="D36" s="5"/>
      <c r="E36" s="5"/>
      <c r="F36" s="5"/>
      <c r="G36" s="5"/>
      <c r="H36" s="5"/>
    </row>
    <row r="37" spans="1:8">
      <c r="A37" s="25">
        <v>52</v>
      </c>
      <c r="B37" s="25">
        <v>43</v>
      </c>
      <c r="C37" s="5"/>
      <c r="D37" s="5"/>
      <c r="E37" s="5"/>
      <c r="F37" s="5"/>
      <c r="G37" s="5"/>
      <c r="H37" s="5"/>
    </row>
    <row r="38" spans="1:8">
      <c r="A38" s="25">
        <v>48</v>
      </c>
      <c r="B38" s="25">
        <v>57</v>
      </c>
      <c r="C38" s="5"/>
      <c r="D38" s="5"/>
      <c r="E38" s="5"/>
      <c r="F38" s="5"/>
      <c r="G38" s="5"/>
      <c r="H38" s="5"/>
    </row>
    <row r="39" spans="1:8">
      <c r="A39" s="25">
        <v>53</v>
      </c>
      <c r="B39" s="25">
        <v>45</v>
      </c>
      <c r="C39" s="5"/>
      <c r="D39" s="5"/>
      <c r="E39" s="5"/>
      <c r="F39" s="5"/>
      <c r="G39" s="5"/>
      <c r="H39" s="5"/>
    </row>
    <row r="40" spans="1:8">
      <c r="A40" s="25">
        <v>22</v>
      </c>
      <c r="B40" s="25">
        <v>67</v>
      </c>
      <c r="C40" s="5"/>
      <c r="D40" s="5"/>
      <c r="E40" s="5"/>
      <c r="F40" s="5"/>
      <c r="G40" s="5"/>
      <c r="H40" s="5"/>
    </row>
    <row r="41" spans="1:8">
      <c r="A41" s="25">
        <v>56</v>
      </c>
      <c r="B41" s="25">
        <v>54</v>
      </c>
      <c r="C41" s="5"/>
      <c r="D41" s="5"/>
      <c r="E41" s="5"/>
      <c r="F41" s="5"/>
      <c r="G41" s="5"/>
      <c r="H41" s="5"/>
    </row>
    <row r="42" spans="1:8">
      <c r="A42" s="25">
        <v>38</v>
      </c>
      <c r="B42" s="25">
        <v>51</v>
      </c>
      <c r="C42" s="5"/>
      <c r="D42" s="5"/>
      <c r="E42" s="5"/>
      <c r="F42" s="5"/>
      <c r="G42" s="5"/>
      <c r="H42" s="5"/>
    </row>
    <row r="43" spans="1:8">
      <c r="A43" s="25">
        <v>32</v>
      </c>
      <c r="B43" s="25">
        <v>39</v>
      </c>
      <c r="C43" s="5"/>
      <c r="D43" s="5"/>
      <c r="E43" s="5"/>
      <c r="F43" s="5"/>
      <c r="G43" s="5"/>
      <c r="H43" s="5"/>
    </row>
    <row r="44" spans="1:8">
      <c r="A44" s="5"/>
      <c r="B44" s="5"/>
      <c r="C44" s="5"/>
      <c r="D44" s="5"/>
      <c r="E44" s="5"/>
      <c r="F44" s="5"/>
      <c r="G44" s="5"/>
      <c r="H44" s="5"/>
    </row>
  </sheetData>
  <mergeCells count="4">
    <mergeCell ref="A1:H1"/>
    <mergeCell ref="D27:H28"/>
    <mergeCell ref="D3:E3"/>
    <mergeCell ref="D15:E1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Domande</vt:lpstr>
      <vt:lpstr>AB_Test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Michel Arcangeli</dc:creator>
  <cp:lastModifiedBy>Michel Arcangeli</cp:lastModifiedBy>
  <dcterms:created xsi:type="dcterms:W3CDTF">2015-06-05T18:17:20Z</dcterms:created>
  <dcterms:modified xsi:type="dcterms:W3CDTF">2026-07-10T16:41:57Z</dcterms:modified>
</cp:coreProperties>
</file>