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iche\Desktop\Master in Ai Epicode\Esercizi\"/>
    </mc:Choice>
  </mc:AlternateContent>
  <xr:revisionPtr revIDLastSave="0" documentId="13_ncr:1_{C88004C4-949B-47D7-AFE8-5B9AF35839C1}" xr6:coauthVersionLast="47" xr6:coauthVersionMax="47" xr10:uidLastSave="{00000000-0000-0000-0000-000000000000}"/>
  <bookViews>
    <workbookView xWindow="20940" yWindow="0" windowWidth="30765" windowHeight="20985" xr2:uid="{00000000-000D-0000-FFFF-FFFF00000000}"/>
  </bookViews>
  <sheets>
    <sheet name="eserciz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1" l="1"/>
  <c r="G25" i="1"/>
  <c r="G23" i="1"/>
  <c r="J14" i="1"/>
  <c r="M14" i="1" s="1"/>
  <c r="Q14" i="1" s="1"/>
  <c r="S14" i="1" s="1"/>
  <c r="O14" i="1"/>
  <c r="O11" i="1"/>
  <c r="O10" i="1"/>
  <c r="J11" i="1" l="1"/>
  <c r="M11" i="1" s="1"/>
  <c r="Q11" i="1" s="1"/>
  <c r="S11" i="1" s="1"/>
  <c r="J10" i="1"/>
  <c r="M10" i="1" s="1"/>
  <c r="Q10" i="1" s="1"/>
  <c r="S10" i="1" s="1"/>
</calcChain>
</file>

<file path=xl/sharedStrings.xml><?xml version="1.0" encoding="utf-8"?>
<sst xmlns="http://schemas.openxmlformats.org/spreadsheetml/2006/main" count="51" uniqueCount="40">
  <si>
    <t xml:space="preserve">Esercizio Base </t>
  </si>
  <si>
    <t>Esercizio 1</t>
  </si>
  <si>
    <t>Esercizio 2</t>
  </si>
  <si>
    <t>Nella Normale con media 50 e varianza 8 stima la quota di dati tra 48 e 58 (regola 68-95-99.7)</t>
  </si>
  <si>
    <t>Esercizio 3</t>
  </si>
  <si>
    <t xml:space="preserve">Calcola lo Z-Score del valore 66 (media 50, var-8) e interpretalo </t>
  </si>
  <si>
    <t>Esercizio 4</t>
  </si>
  <si>
    <t>Estraendo una carta da un mazzo da 40, qual è la probabilità che sia una figura?</t>
  </si>
  <si>
    <t>Lancio un dato, calcola la probabilità di un numero pari e quella di un numero maggiore di 4</t>
  </si>
  <si>
    <t xml:space="preserve">pari </t>
  </si>
  <si>
    <t>2 4 6</t>
  </si>
  <si>
    <t>maggiore di 4</t>
  </si>
  <si>
    <t>4  6</t>
  </si>
  <si>
    <t>.3/6</t>
  </si>
  <si>
    <t>.2/6</t>
  </si>
  <si>
    <t>Media</t>
  </si>
  <si>
    <t>Varianza</t>
  </si>
  <si>
    <t>Z-score</t>
  </si>
  <si>
    <t>Circa il</t>
  </si>
  <si>
    <t xml:space="preserve">delle quote sono inferiori a </t>
  </si>
  <si>
    <t>Pr(X &lt; 48 )</t>
  </si>
  <si>
    <t>Pr(X &gt; 48)</t>
  </si>
  <si>
    <t>Valore</t>
  </si>
  <si>
    <t>Quota</t>
  </si>
  <si>
    <t>Pr(X &lt; 66 )</t>
  </si>
  <si>
    <t>Pr(X &gt; 66)</t>
  </si>
  <si>
    <t>Carte</t>
  </si>
  <si>
    <t xml:space="preserve">Figure </t>
  </si>
  <si>
    <t>Pr. Estrazione figura:</t>
  </si>
  <si>
    <t>.12/40</t>
  </si>
  <si>
    <t>Esercizio 5</t>
  </si>
  <si>
    <t>due lanci di un dado indipendenti: probabilità di due numeri pari? Almeno un numero 6?</t>
  </si>
  <si>
    <t>pari</t>
  </si>
  <si>
    <t>almeno un 6</t>
  </si>
  <si>
    <t>1-pr. Ness 6</t>
  </si>
  <si>
    <t>.25/36</t>
  </si>
  <si>
    <t>1-(25/36)</t>
  </si>
  <si>
    <t>Esercizio 6</t>
  </si>
  <si>
    <t>calcola la pr. Che un valore sia sotto z=1.5 nella norm std.</t>
  </si>
  <si>
    <t>z-score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</si>
</sst>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0" applyNumberFormat="1"/>
    <xf numFmtId="12" fontId="0" fillId="0" borderId="0" xfId="0" applyNumberFormat="1"/>
    <xf numFmtId="9" fontId="0" fillId="0" borderId="0" xfId="0" applyNumberFormat="1"/>
    <xf numFmtId="12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29"/>
  <sheetViews>
    <sheetView tabSelected="1" workbookViewId="0">
      <selection activeCell="E32" sqref="E32"/>
    </sheetView>
  </sheetViews>
  <sheetFormatPr defaultRowHeight="15" x14ac:dyDescent="0.25"/>
  <cols>
    <col min="1" max="1" width="13.85546875" bestFit="1" customWidth="1"/>
    <col min="2" max="2" width="83.5703125" bestFit="1" customWidth="1"/>
    <col min="3" max="4" width="12.85546875" bestFit="1" customWidth="1"/>
    <col min="5" max="5" width="12.140625" bestFit="1" customWidth="1"/>
    <col min="6" max="6" width="19.42578125" bestFit="1" customWidth="1"/>
    <col min="7" max="7" width="11.85546875" customWidth="1"/>
    <col min="14" max="14" width="26.140625" bestFit="1" customWidth="1"/>
    <col min="16" max="16" width="9.7109375" bestFit="1" customWidth="1"/>
  </cols>
  <sheetData>
    <row r="2" spans="1:19" x14ac:dyDescent="0.25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25">
      <c r="A5" s="1"/>
      <c r="B5" s="1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x14ac:dyDescent="0.25">
      <c r="A6" s="1"/>
      <c r="B6" s="1"/>
      <c r="C6" s="1" t="s">
        <v>9</v>
      </c>
      <c r="D6" s="1" t="s">
        <v>10</v>
      </c>
      <c r="E6" s="5" t="s">
        <v>13</v>
      </c>
      <c r="F6" s="5">
        <v>0.5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x14ac:dyDescent="0.25">
      <c r="A7" s="1"/>
      <c r="B7" s="1"/>
      <c r="C7" s="1" t="s">
        <v>11</v>
      </c>
      <c r="D7" s="1" t="s">
        <v>12</v>
      </c>
      <c r="E7" s="1" t="s">
        <v>14</v>
      </c>
      <c r="F7" s="5">
        <v>0.33333333333333331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x14ac:dyDescent="0.25">
      <c r="A9" s="1" t="s">
        <v>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x14ac:dyDescent="0.25">
      <c r="A10" s="1"/>
      <c r="B10" s="1" t="s">
        <v>3</v>
      </c>
      <c r="C10" s="1" t="s">
        <v>15</v>
      </c>
      <c r="D10" s="1">
        <v>50</v>
      </c>
      <c r="E10" s="1"/>
      <c r="F10" s="1" t="s">
        <v>23</v>
      </c>
      <c r="G10" s="1">
        <v>48</v>
      </c>
      <c r="H10" s="1"/>
      <c r="I10" s="1" t="s">
        <v>17</v>
      </c>
      <c r="J10" s="1">
        <f>(G10-$D$10)/$D$11</f>
        <v>-0.25</v>
      </c>
      <c r="K10" s="1"/>
      <c r="L10" s="1" t="s">
        <v>18</v>
      </c>
      <c r="M10" s="6">
        <f>_xlfn.NORM.S.DIST(J10,TRUE)</f>
        <v>0.4012936743170763</v>
      </c>
      <c r="N10" s="1" t="s">
        <v>19</v>
      </c>
      <c r="O10" s="1">
        <f>G10</f>
        <v>48</v>
      </c>
      <c r="P10" s="1" t="s">
        <v>20</v>
      </c>
      <c r="Q10" s="6">
        <f>M10</f>
        <v>0.4012936743170763</v>
      </c>
      <c r="R10" s="1" t="s">
        <v>21</v>
      </c>
      <c r="S10" s="6">
        <f>1-Q10</f>
        <v>0.5987063256829237</v>
      </c>
    </row>
    <row r="11" spans="1:19" x14ac:dyDescent="0.25">
      <c r="A11" s="1"/>
      <c r="B11" s="1"/>
      <c r="C11" s="1" t="s">
        <v>16</v>
      </c>
      <c r="D11" s="1">
        <v>8</v>
      </c>
      <c r="E11" s="1"/>
      <c r="F11" s="1"/>
      <c r="G11" s="1">
        <v>58</v>
      </c>
      <c r="H11" s="1"/>
      <c r="I11" s="1" t="s">
        <v>17</v>
      </c>
      <c r="J11" s="1">
        <f>(G11-$D$10)/$D$11</f>
        <v>1</v>
      </c>
      <c r="K11" s="1"/>
      <c r="L11" s="1" t="s">
        <v>18</v>
      </c>
      <c r="M11" s="6">
        <f>_xlfn.NORM.S.DIST(J11,TRUE)</f>
        <v>0.84134474606854304</v>
      </c>
      <c r="N11" s="1" t="s">
        <v>19</v>
      </c>
      <c r="O11" s="1">
        <f>G11</f>
        <v>58</v>
      </c>
      <c r="P11" s="1" t="s">
        <v>20</v>
      </c>
      <c r="Q11" s="6">
        <f>M11</f>
        <v>0.84134474606854304</v>
      </c>
      <c r="R11" s="1" t="s">
        <v>21</v>
      </c>
      <c r="S11" s="6">
        <f>1-Q11</f>
        <v>0.15865525393145696</v>
      </c>
    </row>
    <row r="12" spans="1:1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25">
      <c r="A13" s="1" t="s">
        <v>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25">
      <c r="A14" s="1"/>
      <c r="B14" s="1" t="s">
        <v>5</v>
      </c>
      <c r="C14" s="1" t="s">
        <v>15</v>
      </c>
      <c r="D14" s="1">
        <v>50</v>
      </c>
      <c r="E14" s="1"/>
      <c r="F14" s="1" t="s">
        <v>22</v>
      </c>
      <c r="G14" s="1">
        <v>66</v>
      </c>
      <c r="H14" s="1"/>
      <c r="I14" s="1" t="s">
        <v>17</v>
      </c>
      <c r="J14" s="1">
        <f>(G14-$D$14)/$D$15</f>
        <v>2</v>
      </c>
      <c r="K14" s="1"/>
      <c r="L14" s="1" t="s">
        <v>18</v>
      </c>
      <c r="M14" s="6">
        <f>_xlfn.NORM.S.DIST(J14,TRUE)</f>
        <v>0.97724986805182079</v>
      </c>
      <c r="N14" s="1" t="s">
        <v>19</v>
      </c>
      <c r="O14" s="1">
        <f>G14</f>
        <v>66</v>
      </c>
      <c r="P14" s="1" t="s">
        <v>24</v>
      </c>
      <c r="Q14" s="6">
        <f>M14</f>
        <v>0.97724986805182079</v>
      </c>
      <c r="R14" s="1" t="s">
        <v>25</v>
      </c>
      <c r="S14" s="6">
        <f>1-Q14</f>
        <v>2.2750131948179209E-2</v>
      </c>
    </row>
    <row r="15" spans="1:19" x14ac:dyDescent="0.25">
      <c r="A15" s="1"/>
      <c r="B15" s="1"/>
      <c r="C15" s="1" t="s">
        <v>16</v>
      </c>
      <c r="D15" s="1">
        <v>8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x14ac:dyDescent="0.25">
      <c r="A17" s="1" t="s">
        <v>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x14ac:dyDescent="0.25">
      <c r="A18" s="1"/>
      <c r="B18" s="1" t="s">
        <v>7</v>
      </c>
      <c r="C18" s="1" t="s">
        <v>26</v>
      </c>
      <c r="D18" s="1">
        <v>40</v>
      </c>
      <c r="E18" s="1"/>
      <c r="F18" s="1" t="s">
        <v>28</v>
      </c>
      <c r="G18" s="5" t="s">
        <v>29</v>
      </c>
      <c r="H18" s="5">
        <v>0.3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x14ac:dyDescent="0.25">
      <c r="A19" s="1"/>
      <c r="B19" s="1"/>
      <c r="C19" s="1" t="s">
        <v>27</v>
      </c>
      <c r="D19" s="1">
        <v>12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x14ac:dyDescent="0.25">
      <c r="A22" t="s">
        <v>30</v>
      </c>
    </row>
    <row r="23" spans="1:19" x14ac:dyDescent="0.25">
      <c r="B23" t="s">
        <v>31</v>
      </c>
      <c r="C23" t="s">
        <v>32</v>
      </c>
      <c r="D23" t="s">
        <v>10</v>
      </c>
      <c r="E23" s="3">
        <v>0.5</v>
      </c>
      <c r="F23" s="3">
        <v>0.5</v>
      </c>
      <c r="G23" s="3">
        <f>F23*E23</f>
        <v>0.25</v>
      </c>
    </row>
    <row r="24" spans="1:19" x14ac:dyDescent="0.25">
      <c r="C24" t="s">
        <v>33</v>
      </c>
      <c r="D24" s="3">
        <v>0.83333333333333337</v>
      </c>
      <c r="E24" s="3">
        <v>0.83333333333333337</v>
      </c>
      <c r="F24" s="3" t="s">
        <v>35</v>
      </c>
      <c r="G24" s="3">
        <v>0.69444444444444442</v>
      </c>
    </row>
    <row r="25" spans="1:19" x14ac:dyDescent="0.25">
      <c r="C25" t="s">
        <v>34</v>
      </c>
      <c r="F25" t="s">
        <v>36</v>
      </c>
      <c r="G25" s="2">
        <f>1-(25/36)</f>
        <v>0.30555555555555558</v>
      </c>
    </row>
    <row r="27" spans="1:19" x14ac:dyDescent="0.25">
      <c r="A27" t="s">
        <v>37</v>
      </c>
    </row>
    <row r="28" spans="1:19" x14ac:dyDescent="0.25">
      <c r="B28" t="s">
        <v>38</v>
      </c>
    </row>
    <row r="29" spans="1:19" x14ac:dyDescent="0.25">
      <c r="C29" t="s">
        <v>39</v>
      </c>
      <c r="D29">
        <v>1.5</v>
      </c>
      <c r="F29" s="4">
        <f>_xlfn.NORM.S.DIST(D29,TRUE)</f>
        <v>0.93319279873114191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esercizio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Arcangeli</dc:creator>
  <cp:lastModifiedBy>Michel Arcangeli</cp:lastModifiedBy>
  <dcterms:created xsi:type="dcterms:W3CDTF">2015-06-05T18:17:20Z</dcterms:created>
  <dcterms:modified xsi:type="dcterms:W3CDTF">2026-07-03T10:07:31Z</dcterms:modified>
</cp:coreProperties>
</file>