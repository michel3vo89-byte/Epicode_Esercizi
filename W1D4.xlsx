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iche\Desktop\Master in Ai Epicode\Esercizi\"/>
    </mc:Choice>
  </mc:AlternateContent>
  <xr:revisionPtr revIDLastSave="0" documentId="13_ncr:2001_{65B27AD2-36B6-4D16-A1B3-1FB4803AC3B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sercizio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F29" i="1"/>
  <c r="G25" i="1"/>
  <c r="G23" i="1"/>
  <c r="J14" i="1"/>
  <c r="M14" i="1" s="1"/>
  <c r="Q14" i="1" s="1"/>
  <c r="S14" i="1" s="1"/>
  <c r="O14" i="1"/>
  <c r="O11" i="1"/>
  <c r="O10" i="1"/>
  <c r="J11" i="1" l="1"/>
  <c r="M11" i="1" s="1"/>
  <c r="Q11" i="1" s="1"/>
  <c r="S11" i="1" s="1"/>
  <c r="J10" i="1"/>
  <c r="M10" i="1" s="1"/>
  <c r="Q10" i="1" s="1"/>
  <c r="S10" i="1" s="1"/>
</calcChain>
</file>

<file path=xl/sharedStrings.xml><?xml version="1.0" encoding="utf-8"?>
<sst xmlns="http://schemas.openxmlformats.org/spreadsheetml/2006/main" count="54" uniqueCount="44">
  <si>
    <t xml:space="preserve">Esercizio Base </t>
  </si>
  <si>
    <t>Esercizio 1</t>
  </si>
  <si>
    <t>Esercizio 2</t>
  </si>
  <si>
    <t>Esercizio 3</t>
  </si>
  <si>
    <t xml:space="preserve">Calcola lo Z-Score del valore 66 (media 50, var-8) e interpretalo </t>
  </si>
  <si>
    <t>Esercizio 4</t>
  </si>
  <si>
    <t>Estraendo una carta da un mazzo da 40, qual è la probabilità che sia una figura?</t>
  </si>
  <si>
    <t>Lancio un dato, calcola la probabilità di un numero pari e quella di un numero maggiore di 4</t>
  </si>
  <si>
    <t xml:space="preserve">pari </t>
  </si>
  <si>
    <t>2 4 6</t>
  </si>
  <si>
    <t>maggiore di 4</t>
  </si>
  <si>
    <t>.3/6</t>
  </si>
  <si>
    <t>.2/6</t>
  </si>
  <si>
    <t>Media</t>
  </si>
  <si>
    <t>Varianza</t>
  </si>
  <si>
    <t>Z-score</t>
  </si>
  <si>
    <t>Circa il</t>
  </si>
  <si>
    <t xml:space="preserve">delle quote sono inferiori a </t>
  </si>
  <si>
    <t>Valore</t>
  </si>
  <si>
    <t>Quota</t>
  </si>
  <si>
    <t>Pr(X &lt; 66 )</t>
  </si>
  <si>
    <t>Pr(X &gt; 66)</t>
  </si>
  <si>
    <t>Carte</t>
  </si>
  <si>
    <t xml:space="preserve">Figure </t>
  </si>
  <si>
    <t>Pr. Estrazione figura:</t>
  </si>
  <si>
    <t>.12/40</t>
  </si>
  <si>
    <t>Esercizio 5</t>
  </si>
  <si>
    <t>due lanci di un dado indipendenti: probabilità di due numeri pari? Almeno un numero 6?</t>
  </si>
  <si>
    <t>pari</t>
  </si>
  <si>
    <t>almeno un 6</t>
  </si>
  <si>
    <t>1-pr. Ness 6</t>
  </si>
  <si>
    <t>.25/36</t>
  </si>
  <si>
    <t>1-(25/36)</t>
  </si>
  <si>
    <t>Esercizio 6</t>
  </si>
  <si>
    <t>calcola la pr. Che un valore sia sotto z=1.5 nella norm std.</t>
  </si>
  <si>
    <t>z-score</t>
  </si>
  <si>
    <t>5 6</t>
  </si>
  <si>
    <t>Nella Normale con media 50 e varianza 8 stima la quota di dati tra 42 e 58 (regola 68-95-99.7)</t>
  </si>
  <si>
    <t>Pr(X &lt; 42 )</t>
  </si>
  <si>
    <t>Pr(X &gt; 42)</t>
  </si>
  <si>
    <r>
      <t>z=(x-</t>
    </r>
    <r>
      <rPr>
        <sz val="11"/>
        <color theme="1"/>
        <rFont val="Calibri"/>
        <family val="2"/>
      </rPr>
      <t>μ)/σ</t>
    </r>
  </si>
  <si>
    <t>Pr(X &lt; 58)</t>
  </si>
  <si>
    <t>Pr(X &gt; 58)</t>
  </si>
  <si>
    <t>Normale Distribuzione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</si>
</sst>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1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2" fontId="0" fillId="0" borderId="8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7B3EC1-95FE-4CEA-A554-22738CF3E5CA}">
  <we:reference id="wa200006518" version="1.2.0.0" store="it-IT" storeType="OMEX"/>
  <we:alternateReferences>
    <we:reference id="WA200006518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9"/>
  <sheetViews>
    <sheetView tabSelected="1" workbookViewId="0">
      <selection activeCell="N22" sqref="N22"/>
    </sheetView>
  </sheetViews>
  <sheetFormatPr defaultRowHeight="15" x14ac:dyDescent="0.25"/>
  <cols>
    <col min="1" max="1" width="13.85546875" style="1" bestFit="1" customWidth="1"/>
    <col min="2" max="2" width="51.5703125" style="1" customWidth="1"/>
    <col min="3" max="4" width="12.85546875" style="1" bestFit="1" customWidth="1"/>
    <col min="5" max="5" width="12.140625" style="1" bestFit="1" customWidth="1"/>
    <col min="6" max="6" width="19.42578125" style="1" bestFit="1" customWidth="1"/>
    <col min="7" max="7" width="11.85546875" style="1" customWidth="1"/>
    <col min="8" max="11" width="9.140625" style="1"/>
    <col min="12" max="12" width="29.140625" style="1" customWidth="1"/>
    <col min="13" max="13" width="9.140625" style="1"/>
    <col min="14" max="14" width="26.140625" style="1" bestFit="1" customWidth="1"/>
    <col min="15" max="15" width="9.140625" style="1"/>
    <col min="16" max="16" width="9.7109375" style="1" bestFit="1" customWidth="1"/>
    <col min="17" max="16384" width="9.140625" style="1"/>
  </cols>
  <sheetData>
    <row r="2" spans="1:19" x14ac:dyDescent="0.25">
      <c r="A2" s="1" t="s">
        <v>0</v>
      </c>
    </row>
    <row r="3" spans="1:19" ht="15.75" thickBot="1" x14ac:dyDescent="0.3"/>
    <row r="4" spans="1:19" x14ac:dyDescent="0.25">
      <c r="A4" s="17" t="s">
        <v>1</v>
      </c>
      <c r="B4" s="2"/>
      <c r="C4" s="2"/>
      <c r="D4" s="2"/>
      <c r="E4" s="2"/>
      <c r="F4" s="3"/>
    </row>
    <row r="5" spans="1:19" ht="30" x14ac:dyDescent="0.25">
      <c r="A5" s="4"/>
      <c r="B5" s="23" t="s">
        <v>7</v>
      </c>
      <c r="F5" s="5"/>
    </row>
    <row r="6" spans="1:19" x14ac:dyDescent="0.25">
      <c r="A6" s="4"/>
      <c r="C6" s="1" t="s">
        <v>8</v>
      </c>
      <c r="D6" s="1" t="s">
        <v>9</v>
      </c>
      <c r="E6" s="6" t="s">
        <v>11</v>
      </c>
      <c r="F6" s="7">
        <v>0.5</v>
      </c>
    </row>
    <row r="7" spans="1:19" ht="15.75" thickBot="1" x14ac:dyDescent="0.3">
      <c r="A7" s="8"/>
      <c r="B7" s="9"/>
      <c r="C7" s="9" t="s">
        <v>10</v>
      </c>
      <c r="D7" s="9" t="s">
        <v>36</v>
      </c>
      <c r="E7" s="9" t="s">
        <v>12</v>
      </c>
      <c r="F7" s="10">
        <v>0.33333333333333331</v>
      </c>
    </row>
    <row r="8" spans="1:19" ht="15.75" thickBot="1" x14ac:dyDescent="0.3"/>
    <row r="9" spans="1:19" x14ac:dyDescent="0.25">
      <c r="A9" s="18" t="s">
        <v>2</v>
      </c>
      <c r="B9" s="2"/>
      <c r="C9" s="2"/>
      <c r="D9" s="2"/>
      <c r="E9" s="2"/>
      <c r="F9" s="2"/>
      <c r="G9" s="2"/>
      <c r="H9" s="2"/>
      <c r="I9" s="2"/>
      <c r="J9" s="2" t="s">
        <v>40</v>
      </c>
      <c r="K9" s="2"/>
      <c r="L9" s="2" t="s">
        <v>43</v>
      </c>
      <c r="M9" s="24">
        <f>M11-M10</f>
        <v>0.68268949213708607</v>
      </c>
      <c r="N9" s="2"/>
      <c r="O9" s="2"/>
      <c r="P9" s="2"/>
      <c r="Q9" s="2"/>
      <c r="R9" s="2"/>
      <c r="S9" s="3"/>
    </row>
    <row r="10" spans="1:19" ht="30" x14ac:dyDescent="0.25">
      <c r="A10" s="4"/>
      <c r="B10" s="23" t="s">
        <v>37</v>
      </c>
      <c r="C10" s="1" t="s">
        <v>13</v>
      </c>
      <c r="D10" s="1">
        <v>50</v>
      </c>
      <c r="F10" s="1" t="s">
        <v>19</v>
      </c>
      <c r="G10" s="1">
        <v>42</v>
      </c>
      <c r="I10" s="1" t="s">
        <v>15</v>
      </c>
      <c r="J10" s="1">
        <f>(G10-$D$10)/$D$11</f>
        <v>-1</v>
      </c>
      <c r="L10" s="1" t="s">
        <v>16</v>
      </c>
      <c r="M10" s="11">
        <f>_xlfn.NORM.S.DIST(J10,TRUE)</f>
        <v>0.15865525393145699</v>
      </c>
      <c r="N10" s="1" t="s">
        <v>17</v>
      </c>
      <c r="O10" s="1">
        <f>G10</f>
        <v>42</v>
      </c>
      <c r="P10" s="1" t="s">
        <v>38</v>
      </c>
      <c r="Q10" s="11">
        <f>M10</f>
        <v>0.15865525393145699</v>
      </c>
      <c r="R10" s="1" t="s">
        <v>39</v>
      </c>
      <c r="S10" s="12">
        <f>1-Q10</f>
        <v>0.84134474606854304</v>
      </c>
    </row>
    <row r="11" spans="1:19" ht="15.75" thickBot="1" x14ac:dyDescent="0.3">
      <c r="A11" s="8"/>
      <c r="B11" s="9"/>
      <c r="C11" s="9" t="s">
        <v>14</v>
      </c>
      <c r="D11" s="9">
        <v>8</v>
      </c>
      <c r="E11" s="9"/>
      <c r="F11" s="9" t="s">
        <v>19</v>
      </c>
      <c r="G11" s="9">
        <v>58</v>
      </c>
      <c r="H11" s="9"/>
      <c r="I11" s="9" t="s">
        <v>15</v>
      </c>
      <c r="J11" s="9">
        <f>(G11-$D$10)/$D$11</f>
        <v>1</v>
      </c>
      <c r="K11" s="9"/>
      <c r="L11" s="9" t="s">
        <v>16</v>
      </c>
      <c r="M11" s="13">
        <f>_xlfn.NORM.S.DIST(J11,TRUE)</f>
        <v>0.84134474606854304</v>
      </c>
      <c r="N11" s="9" t="s">
        <v>17</v>
      </c>
      <c r="O11" s="9">
        <f>G11</f>
        <v>58</v>
      </c>
      <c r="P11" s="9" t="s">
        <v>41</v>
      </c>
      <c r="Q11" s="13">
        <f>M11</f>
        <v>0.84134474606854304</v>
      </c>
      <c r="R11" s="9" t="s">
        <v>42</v>
      </c>
      <c r="S11" s="14">
        <f>1-Q11</f>
        <v>0.15865525393145696</v>
      </c>
    </row>
    <row r="12" spans="1:19" ht="15.75" thickBot="1" x14ac:dyDescent="0.3"/>
    <row r="13" spans="1:19" x14ac:dyDescent="0.25">
      <c r="A13" s="19" t="s">
        <v>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"/>
    </row>
    <row r="14" spans="1:19" ht="30" x14ac:dyDescent="0.25">
      <c r="A14" s="4"/>
      <c r="B14" s="23" t="s">
        <v>4</v>
      </c>
      <c r="C14" s="1" t="s">
        <v>13</v>
      </c>
      <c r="D14" s="1">
        <v>50</v>
      </c>
      <c r="F14" s="1" t="s">
        <v>18</v>
      </c>
      <c r="G14" s="1">
        <v>66</v>
      </c>
      <c r="I14" s="1" t="s">
        <v>15</v>
      </c>
      <c r="J14" s="1">
        <f>(G14-$D$14)/$D$15</f>
        <v>2</v>
      </c>
      <c r="L14" s="1" t="s">
        <v>16</v>
      </c>
      <c r="M14" s="11">
        <f>_xlfn.NORM.S.DIST(J14,TRUE)</f>
        <v>0.97724986805182079</v>
      </c>
      <c r="N14" s="1" t="s">
        <v>17</v>
      </c>
      <c r="O14" s="1">
        <f>G14</f>
        <v>66</v>
      </c>
      <c r="P14" s="1" t="s">
        <v>20</v>
      </c>
      <c r="Q14" s="11">
        <f>M14</f>
        <v>0.97724986805182079</v>
      </c>
      <c r="R14" s="1" t="s">
        <v>21</v>
      </c>
      <c r="S14" s="12">
        <f>1-Q14</f>
        <v>2.2750131948179209E-2</v>
      </c>
    </row>
    <row r="15" spans="1:19" ht="15.75" thickBot="1" x14ac:dyDescent="0.3">
      <c r="A15" s="8"/>
      <c r="B15" s="9"/>
      <c r="C15" s="9" t="s">
        <v>14</v>
      </c>
      <c r="D15" s="9">
        <v>8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5"/>
    </row>
    <row r="16" spans="1:19" ht="15.75" thickBot="1" x14ac:dyDescent="0.3"/>
    <row r="17" spans="1:8" x14ac:dyDescent="0.25">
      <c r="A17" s="20" t="s">
        <v>5</v>
      </c>
      <c r="B17" s="2"/>
      <c r="C17" s="2"/>
      <c r="D17" s="2"/>
      <c r="E17" s="2"/>
      <c r="F17" s="2"/>
      <c r="G17" s="2"/>
      <c r="H17" s="3"/>
    </row>
    <row r="18" spans="1:8" ht="30" x14ac:dyDescent="0.25">
      <c r="A18" s="4"/>
      <c r="B18" s="23" t="s">
        <v>6</v>
      </c>
      <c r="C18" s="1" t="s">
        <v>22</v>
      </c>
      <c r="D18" s="1">
        <v>40</v>
      </c>
      <c r="F18" s="1" t="s">
        <v>24</v>
      </c>
      <c r="G18" s="6" t="s">
        <v>25</v>
      </c>
      <c r="H18" s="7">
        <v>0.3</v>
      </c>
    </row>
    <row r="19" spans="1:8" ht="15.75" thickBot="1" x14ac:dyDescent="0.3">
      <c r="A19" s="8"/>
      <c r="B19" s="9"/>
      <c r="C19" s="9" t="s">
        <v>23</v>
      </c>
      <c r="D19" s="9">
        <v>12</v>
      </c>
      <c r="E19" s="9"/>
      <c r="F19" s="9"/>
      <c r="G19" s="9"/>
      <c r="H19" s="15"/>
    </row>
    <row r="21" spans="1:8" ht="15.75" thickBot="1" x14ac:dyDescent="0.3"/>
    <row r="22" spans="1:8" x14ac:dyDescent="0.25">
      <c r="A22" s="21" t="s">
        <v>26</v>
      </c>
      <c r="B22" s="2"/>
      <c r="C22" s="2"/>
      <c r="D22" s="2"/>
      <c r="E22" s="2"/>
      <c r="F22" s="2"/>
      <c r="G22" s="3"/>
    </row>
    <row r="23" spans="1:8" ht="30" x14ac:dyDescent="0.25">
      <c r="A23" s="4"/>
      <c r="B23" s="23" t="s">
        <v>27</v>
      </c>
      <c r="C23" s="1" t="s">
        <v>28</v>
      </c>
      <c r="D23" s="1" t="s">
        <v>9</v>
      </c>
      <c r="E23" s="6">
        <v>0.5</v>
      </c>
      <c r="F23" s="6">
        <v>0.5</v>
      </c>
      <c r="G23" s="7">
        <f>F23*E23</f>
        <v>0.25</v>
      </c>
    </row>
    <row r="24" spans="1:8" x14ac:dyDescent="0.25">
      <c r="A24" s="4"/>
      <c r="C24" s="1" t="s">
        <v>29</v>
      </c>
      <c r="D24" s="6">
        <v>0.83333333333333337</v>
      </c>
      <c r="E24" s="6">
        <v>0.83333333333333337</v>
      </c>
      <c r="F24" s="6" t="s">
        <v>31</v>
      </c>
      <c r="G24" s="7">
        <v>0.69444444444444442</v>
      </c>
    </row>
    <row r="25" spans="1:8" ht="15.75" thickBot="1" x14ac:dyDescent="0.3">
      <c r="A25" s="8"/>
      <c r="B25" s="9"/>
      <c r="C25" s="9" t="s">
        <v>30</v>
      </c>
      <c r="D25" s="9"/>
      <c r="E25" s="9"/>
      <c r="F25" s="9" t="s">
        <v>32</v>
      </c>
      <c r="G25" s="16">
        <f>1-(25/36)</f>
        <v>0.30555555555555558</v>
      </c>
    </row>
    <row r="26" spans="1:8" ht="15.75" thickBot="1" x14ac:dyDescent="0.3"/>
    <row r="27" spans="1:8" x14ac:dyDescent="0.25">
      <c r="A27" s="22" t="s">
        <v>33</v>
      </c>
      <c r="B27" s="2"/>
      <c r="C27" s="2"/>
      <c r="D27" s="2"/>
      <c r="E27" s="2"/>
      <c r="F27" s="3"/>
    </row>
    <row r="28" spans="1:8" ht="30" x14ac:dyDescent="0.25">
      <c r="A28" s="4"/>
      <c r="B28" s="23" t="s">
        <v>34</v>
      </c>
      <c r="F28" s="5"/>
    </row>
    <row r="29" spans="1:8" ht="15.75" thickBot="1" x14ac:dyDescent="0.3">
      <c r="A29" s="8"/>
      <c r="B29" s="9"/>
      <c r="C29" s="9" t="s">
        <v>35</v>
      </c>
      <c r="D29" s="9">
        <v>1.5</v>
      </c>
      <c r="E29" s="9"/>
      <c r="F29" s="14">
        <f>_xlfn.NORM.S.DIST(D29,TRUE)</f>
        <v>0.93319279873114191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esercizio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Arcangeli</dc:creator>
  <cp:lastModifiedBy>Michel Arcangeli</cp:lastModifiedBy>
  <dcterms:created xsi:type="dcterms:W3CDTF">2015-06-05T18:17:20Z</dcterms:created>
  <dcterms:modified xsi:type="dcterms:W3CDTF">2026-07-07T18:16:36Z</dcterms:modified>
</cp:coreProperties>
</file>